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NAV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San Dimas" sheetId="4" state="visible" r:id="rId4"/>
    <sheet xmlns:r="http://schemas.openxmlformats.org/officeDocument/2006/relationships" name="Santa Elena" sheetId="5" state="visible" r:id="rId5"/>
    <sheet xmlns:r="http://schemas.openxmlformats.org/officeDocument/2006/relationships" name="Los Gatos 70" sheetId="6" state="visible" r:id="rId6"/>
    <sheet xmlns:r="http://schemas.openxmlformats.org/officeDocument/2006/relationships" name="La Encantada" sheetId="7" state="visible" r:id="rId7"/>
    <sheet xmlns:r="http://schemas.openxmlformats.org/officeDocument/2006/relationships" name="JerrittCany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%"/>
    <numFmt numFmtId="165" formatCode="#,##0.0"/>
    <numFmt numFmtId="166" formatCode="0.0"/>
    <numFmt numFmtId="167" formatCode="#,##0;(#,##0)"/>
    <numFmt numFmtId="168" formatCode="0.000"/>
    <numFmt numFmtId="169" formatCode="0.00x"/>
    <numFmt numFmtId="170" formatCode="0.0%;(0.0%)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3"/>
    </font>
    <font>
      <color rgb="000000FF"/>
    </font>
    <font>
      <b val="1"/>
    </font>
    <font>
      <b val="1"/>
      <sz val="12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3" borderId="0" pivotButton="0" quotePrefix="0" xfId="0"/>
    <xf numFmtId="3" fontId="6" fillId="0" borderId="0" pivotButton="0" quotePrefix="0" xfId="0"/>
    <xf numFmtId="0" fontId="4" fillId="0" borderId="0" pivotButton="0" quotePrefix="0" xfId="0"/>
    <xf numFmtId="3" fontId="4" fillId="0" borderId="0" pivotButton="0" quotePrefix="0" xfId="0"/>
    <xf numFmtId="167" fontId="0" fillId="0" borderId="0" pivotButton="0" quotePrefix="0" xfId="0"/>
    <xf numFmtId="165" fontId="6" fillId="0" borderId="0" pivotButton="0" quotePrefix="0" xfId="0"/>
    <xf numFmtId="4" fontId="4" fillId="0" borderId="0" pivotButton="0" quotePrefix="0" xfId="0"/>
    <xf numFmtId="4" fontId="6" fillId="0" borderId="0" pivotButton="0" quotePrefix="0" xfId="0"/>
    <xf numFmtId="169" fontId="4" fillId="0" borderId="0" pivotButton="0" quotePrefix="0" xfId="0"/>
    <xf numFmtId="170" fontId="0" fillId="0" borderId="0" pivotButton="0" quotePrefix="0" xfId="0"/>
    <xf numFmtId="0" fontId="3" fillId="2" borderId="0" pivotButton="0" quotePrefix="0" xfId="0"/>
    <xf numFmtId="1" fontId="4" fillId="3" borderId="0" pivotButton="0" quotePrefix="0" xfId="0"/>
    <xf numFmtId="3" fontId="3" fillId="2" borderId="0" pivotButton="0" quotePrefix="0" xfId="0"/>
    <xf numFmtId="3" fontId="0" fillId="0" borderId="0" pivotButton="0" quotePrefix="0" xfId="0"/>
    <xf numFmtId="164" fontId="3" fillId="2" borderId="0" pivotButton="0" quotePrefix="0" xfId="0"/>
    <xf numFmtId="165" fontId="3" fillId="0" borderId="0" pivotButton="0" quotePrefix="0" xfId="0"/>
    <xf numFmtId="3" fontId="3" fillId="0" borderId="0" pivotButton="0" quotePrefix="0" xfId="0"/>
    <xf numFmtId="1" fontId="3" fillId="2" borderId="0" pivotButton="0" quotePrefix="0" xfId="0"/>
    <xf numFmtId="4" fontId="3" fillId="0" borderId="0" pivotButton="0" quotePrefix="0" xfId="0"/>
    <xf numFmtId="0" fontId="4" fillId="3" borderId="0" applyAlignment="1" pivotButton="0" quotePrefix="0" xfId="0">
      <alignment wrapText="1"/>
    </xf>
    <xf numFmtId="2" fontId="3" fillId="0" borderId="0" pivotButton="0" quotePrefix="0" xfId="0"/>
    <xf numFmtId="166" fontId="3" fillId="0" borderId="0" pivotButton="0" quotePrefix="0" xfId="0"/>
    <xf numFmtId="166" fontId="0" fillId="0" borderId="0" pivotButton="0" quotePrefix="0" xfId="0"/>
    <xf numFmtId="1" fontId="0" fillId="0" borderId="0" pivotButton="0" quotePrefix="0" xfId="0"/>
    <xf numFmtId="0" fontId="5" fillId="0" borderId="0" pivotButton="0" quotePrefix="0" xfId="0"/>
    <xf numFmtId="2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First Majestic Silver — Net Asset Value model</t>
        </is>
      </c>
    </row>
    <row r="3">
      <c r="A3" t="inlineStr">
        <is>
          <t>WHAT THIS IS: each producing mine is a mini-DCF — project production, price it with the silver/gold deck,</t>
        </is>
      </c>
    </row>
    <row r="4">
      <c r="A4" t="inlineStr">
        <is>
          <t>subtract all-in sustaining costs and tax, discount each year's cash flow, sum. Add net cash, subtract</t>
        </is>
      </c>
    </row>
    <row r="5">
      <c r="A5" t="inlineStr">
        <is>
          <t>corporate overhead, divide by shares = NAV per share. Compare to the market price = P/NAV.</t>
        </is>
      </c>
    </row>
    <row r="6">
      <c r="A6" t="inlineStr"/>
    </row>
    <row r="7">
      <c r="A7" t="inlineStr">
        <is>
          <t>HOW TO USE: everything you might change lives on the Assumptions sheet. Yellow = judgment calls to own.</t>
        </is>
      </c>
    </row>
    <row r="8">
      <c r="A8" t="inlineStr">
        <is>
          <t>Blue = hardcoded facts from disclosures. Black/green = formulas. Change the deck number or discount rate</t>
        </is>
      </c>
    </row>
    <row r="9">
      <c r="A9" t="inlineStr">
        <is>
          <t>and the whole model reprices instantly.</t>
        </is>
      </c>
    </row>
    <row r="10">
      <c r="A10" t="inlineStr"/>
    </row>
    <row r="11">
      <c r="A11" t="inlineStr">
        <is>
          <t>KEY SIMPLIFICATIONS (know these for interviews):</t>
        </is>
      </c>
    </row>
    <row r="12">
      <c r="A12" t="inlineStr">
        <is>
          <t>1. Flat production over each mine's modeled life (real mines have grade/throughput profiles).</t>
        </is>
      </c>
    </row>
    <row r="13">
      <c r="A13" t="inlineStr">
        <is>
          <t>2. AISC used as the all-in cost proxy — it includes sustaining capex but NOT expansionary capex</t>
        </is>
      </c>
    </row>
    <row r="14">
      <c r="A14" t="inlineStr">
        <is>
          <t xml:space="preserve">   (company guides $154-171M expansionary in 2026 alone). NAV is optimistic by roughly that PV.</t>
        </is>
      </c>
    </row>
    <row r="15">
      <c r="A15" t="inlineStr">
        <is>
          <t>3. Mine life = reserve life + a judgment 'resource conversion' extension. Defend the extension years.</t>
        </is>
      </c>
    </row>
    <row r="16">
      <c r="A16" t="inlineStr">
        <is>
          <t>4. Los Gatos zinc/lead byproducts modeled as an AgEq stream priced at silver.</t>
        </is>
      </c>
    </row>
    <row r="17">
      <c r="A17" t="inlineStr">
        <is>
          <t>5. Jerritt Canyon modeled as a simple restart case (guides say H2 2027 production, PFS due Q4 2026 —</t>
        </is>
      </c>
    </row>
    <row r="18">
      <c r="A18" t="inlineStr">
        <is>
          <t xml:space="preserve">   update this block when the study is out). Toggle it on/off on Assumptions.</t>
        </is>
      </c>
    </row>
    <row r="19">
      <c r="A19" t="inlineStr">
        <is>
          <t>6. First Mint, exploration properties, and NCI subtleties beyond the 70% Gatos share: excluded.</t>
        </is>
      </c>
    </row>
    <row r="20">
      <c r="A20" t="inlineStr"/>
    </row>
    <row r="21">
      <c r="A21" t="inlineStr">
        <is>
          <t>MID-YEAR CONVENTION: cash flows discounted at (t - 0.5) — cash arrives through the year, not Dec 31.</t>
        </is>
      </c>
    </row>
    <row r="22">
      <c r="A22" t="inlineStr">
        <is>
          <t>P/NAV INTUITION: quality silver producers historically trade 0.8x-1.5x NAV(5%); the premium/discount</t>
        </is>
      </c>
    </row>
    <row r="23">
      <c r="A23" t="inlineStr">
        <is>
          <t>reflects mine-life optionality, jurisdiction, and balance-sheet quality.</t>
        </is>
      </c>
    </row>
    <row r="24">
      <c r="A24" t="inlineStr"/>
    </row>
    <row r="25">
      <c r="A25" t="inlineStr">
        <is>
          <t>DATA SOURCES: 2026 guidance &amp; AISC by mine (Jan 2026 outlook release); P&amp;P reserves Dec 31 2025</t>
        </is>
      </c>
    </row>
    <row r="26">
      <c r="A26" t="inlineStr">
        <is>
          <t>(Mar 2026 release); Q1 2026 balance sheet (cash $984.8M, debt $297.4M, shares 488.7M);</t>
        </is>
      </c>
    </row>
    <row r="27">
      <c r="A27" t="inlineStr">
        <is>
          <t>spot Ag ~$61 / Au ~$4,120 (Jul 2, 2026); decks bracket HSBC / spot / JPM-GS style forecasts.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2" t="inlineStr">
        <is>
          <t>Net Asset Value — summary</t>
        </is>
      </c>
    </row>
    <row r="3">
      <c r="A3" s="3" t="inlineStr">
        <is>
          <t>Asset</t>
        </is>
      </c>
      <c r="B3" s="3" t="inlineStr">
        <is>
          <t>NPV ($mm)</t>
        </is>
      </c>
    </row>
    <row r="4">
      <c r="A4" t="inlineStr">
        <is>
          <t>San Dimas</t>
        </is>
      </c>
      <c r="B4" s="4">
        <f>'San Dimas'!B20</f>
        <v/>
      </c>
    </row>
    <row r="5">
      <c r="A5" t="inlineStr">
        <is>
          <t>Santa Elena</t>
        </is>
      </c>
      <c r="B5" s="4">
        <f>'Santa Elena'!B20</f>
        <v/>
      </c>
    </row>
    <row r="6">
      <c r="A6" t="inlineStr">
        <is>
          <t>Los Gatos (70%)</t>
        </is>
      </c>
      <c r="B6" s="4">
        <f>'Los Gatos 70'!B20</f>
        <v/>
      </c>
    </row>
    <row r="7">
      <c r="A7" t="inlineStr">
        <is>
          <t>La Encantada</t>
        </is>
      </c>
      <c r="B7" s="4">
        <f>'La Encantada'!B20</f>
        <v/>
      </c>
    </row>
    <row r="8">
      <c r="A8" t="inlineStr">
        <is>
          <t>Jerritt Canyon (× include toggle)</t>
        </is>
      </c>
      <c r="B8" s="4">
        <f>JerrittCanyon!B17*Assumptions!B24</f>
        <v/>
      </c>
    </row>
    <row r="9">
      <c r="A9" s="5" t="inlineStr">
        <is>
          <t>Mining NAV</t>
        </is>
      </c>
      <c r="B9" s="6">
        <f>SUM(B4:B8)</f>
        <v/>
      </c>
    </row>
    <row r="11">
      <c r="A11" t="inlineStr">
        <is>
          <t>Less: PV of corporate G&amp;A (annuity)</t>
        </is>
      </c>
      <c r="B11" s="7">
        <f>-Assumptions!B21*(1-(1+Assumptions!B16)^-Assumptions!B22)/Assumptions!B16</f>
        <v/>
      </c>
    </row>
    <row r="12">
      <c r="A12" t="inlineStr">
        <is>
          <t>Plus: net cash (Q1 2026)</t>
        </is>
      </c>
      <c r="B12" s="4">
        <f>Assumptions!B20</f>
        <v/>
      </c>
    </row>
    <row r="13">
      <c r="A13" s="5" t="inlineStr">
        <is>
          <t>Corporate NAV</t>
        </is>
      </c>
      <c r="B13" s="6">
        <f>B9+B11+B12</f>
        <v/>
      </c>
    </row>
    <row r="15">
      <c r="A15" t="inlineStr">
        <is>
          <t>Shares outstanding (M)</t>
        </is>
      </c>
      <c r="B15" s="8">
        <f>Assumptions!B19</f>
        <v/>
      </c>
    </row>
    <row r="16">
      <c r="A16" s="5" t="inlineStr">
        <is>
          <t>NAV per share (US$)</t>
        </is>
      </c>
      <c r="B16" s="9">
        <f>B13/B15</f>
        <v/>
      </c>
    </row>
    <row r="17">
      <c r="A17" t="inlineStr">
        <is>
          <t>Current price (US$)</t>
        </is>
      </c>
      <c r="B17" s="10">
        <f>Assumptions!B23</f>
        <v/>
      </c>
    </row>
    <row r="18">
      <c r="A18" s="5" t="inlineStr">
        <is>
          <t>P/NAV</t>
        </is>
      </c>
      <c r="B18" s="11">
        <f>B17/B16</f>
        <v/>
      </c>
    </row>
    <row r="19">
      <c r="A19" t="inlineStr">
        <is>
          <t>Implied upside/(downside) to NAV</t>
        </is>
      </c>
      <c r="B19" s="12">
        <f>B16/B17-1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4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2" t="inlineStr">
        <is>
          <t>Assumptions — yellow cells are yours to defend</t>
        </is>
      </c>
    </row>
    <row r="3">
      <c r="A3" t="inlineStr">
        <is>
          <t>Selected price deck (1=Conservative, 2=Spot-flat, 3=Bull)</t>
        </is>
      </c>
      <c r="B3" s="13" t="n">
        <v>2</v>
      </c>
    </row>
    <row r="5">
      <c r="A5" s="5" t="inlineStr">
        <is>
          <t>Price decks (US$/oz)</t>
        </is>
      </c>
      <c r="D5" s="14" t="n">
        <v>2026</v>
      </c>
      <c r="E5" s="14" t="n">
        <v>2027</v>
      </c>
      <c r="F5" s="14" t="n">
        <v>2028</v>
      </c>
      <c r="G5" s="14" t="n">
        <v>2029</v>
      </c>
      <c r="H5" s="14" t="n">
        <v>2030</v>
      </c>
      <c r="I5" s="14" t="n">
        <v>2031</v>
      </c>
      <c r="J5" s="14" t="n">
        <v>2032</v>
      </c>
      <c r="K5" s="14" t="n">
        <v>2033</v>
      </c>
      <c r="L5" s="14" t="n">
        <v>2034</v>
      </c>
      <c r="M5" s="14" t="n">
        <v>2035</v>
      </c>
    </row>
    <row r="6">
      <c r="A6" t="inlineStr">
        <is>
          <t>Silver: Deck 1 — Conservative (bank-fade)</t>
        </is>
      </c>
      <c r="D6" s="15" t="n">
        <v>55</v>
      </c>
      <c r="E6" s="15" t="n">
        <v>50</v>
      </c>
      <c r="F6" s="15" t="n">
        <v>47</v>
      </c>
      <c r="G6" s="15" t="n">
        <v>45</v>
      </c>
      <c r="H6" s="15" t="n">
        <v>45</v>
      </c>
      <c r="I6" s="15" t="n">
        <v>45</v>
      </c>
      <c r="J6" s="15" t="n">
        <v>45</v>
      </c>
      <c r="K6" s="15" t="n">
        <v>45</v>
      </c>
      <c r="L6" s="15" t="n">
        <v>45</v>
      </c>
      <c r="M6" s="15" t="n">
        <v>45</v>
      </c>
    </row>
    <row r="7">
      <c r="A7" t="inlineStr">
        <is>
          <t>Silver: Deck 2 — Spot-anchored flat</t>
        </is>
      </c>
      <c r="D7" s="15" t="n">
        <v>61</v>
      </c>
      <c r="E7" s="15" t="n">
        <v>61</v>
      </c>
      <c r="F7" s="15" t="n">
        <v>61</v>
      </c>
      <c r="G7" s="15" t="n">
        <v>61</v>
      </c>
      <c r="H7" s="15" t="n">
        <v>61</v>
      </c>
      <c r="I7" s="15" t="n">
        <v>61</v>
      </c>
      <c r="J7" s="15" t="n">
        <v>61</v>
      </c>
      <c r="K7" s="15" t="n">
        <v>61</v>
      </c>
      <c r="L7" s="15" t="n">
        <v>61</v>
      </c>
      <c r="M7" s="15" t="n">
        <v>61</v>
      </c>
    </row>
    <row r="8">
      <c r="A8" t="inlineStr">
        <is>
          <t>Silver: Deck 3 — Structural bull</t>
        </is>
      </c>
      <c r="D8" s="15" t="n">
        <v>62</v>
      </c>
      <c r="E8" s="15" t="n">
        <v>72</v>
      </c>
      <c r="F8" s="15" t="n">
        <v>80</v>
      </c>
      <c r="G8" s="15" t="n">
        <v>75</v>
      </c>
      <c r="H8" s="15" t="n">
        <v>70</v>
      </c>
      <c r="I8" s="15" t="n">
        <v>70</v>
      </c>
      <c r="J8" s="15" t="n">
        <v>70</v>
      </c>
      <c r="K8" s="15" t="n">
        <v>70</v>
      </c>
      <c r="L8" s="15" t="n">
        <v>70</v>
      </c>
      <c r="M8" s="15" t="n">
        <v>70</v>
      </c>
    </row>
    <row r="9">
      <c r="A9" s="5" t="inlineStr">
        <is>
          <t>Silver price USED (per selected deck)</t>
        </is>
      </c>
      <c r="D9" s="16">
        <f>CHOOSE($B$3,D6,D7,D8)</f>
        <v/>
      </c>
      <c r="E9" s="16">
        <f>CHOOSE($B$3,E6,E7,E8)</f>
        <v/>
      </c>
      <c r="F9" s="16">
        <f>CHOOSE($B$3,F6,F7,F8)</f>
        <v/>
      </c>
      <c r="G9" s="16">
        <f>CHOOSE($B$3,G6,G7,G8)</f>
        <v/>
      </c>
      <c r="H9" s="16">
        <f>CHOOSE($B$3,H6,H7,H8)</f>
        <v/>
      </c>
      <c r="I9" s="16">
        <f>CHOOSE($B$3,I6,I7,I8)</f>
        <v/>
      </c>
      <c r="J9" s="16">
        <f>CHOOSE($B$3,J6,J7,J8)</f>
        <v/>
      </c>
      <c r="K9" s="16">
        <f>CHOOSE($B$3,K6,K7,K8)</f>
        <v/>
      </c>
      <c r="L9" s="16">
        <f>CHOOSE($B$3,L6,L7,L8)</f>
        <v/>
      </c>
      <c r="M9" s="16">
        <f>CHOOSE($B$3,M6,M7,M8)</f>
        <v/>
      </c>
    </row>
    <row r="11">
      <c r="A11" t="inlineStr">
        <is>
          <t>Gold: Deck 1 — Conservative (bank-fade)</t>
        </is>
      </c>
      <c r="D11" s="15" t="n">
        <v>4000</v>
      </c>
      <c r="E11" s="15" t="n">
        <v>3800</v>
      </c>
      <c r="F11" s="15" t="n">
        <v>3600</v>
      </c>
      <c r="G11" s="15" t="n">
        <v>3500</v>
      </c>
      <c r="H11" s="15" t="n">
        <v>3500</v>
      </c>
      <c r="I11" s="15" t="n">
        <v>3500</v>
      </c>
      <c r="J11" s="15" t="n">
        <v>3500</v>
      </c>
      <c r="K11" s="15" t="n">
        <v>3500</v>
      </c>
      <c r="L11" s="15" t="n">
        <v>3500</v>
      </c>
      <c r="M11" s="15" t="n">
        <v>3500</v>
      </c>
    </row>
    <row r="12">
      <c r="A12" t="inlineStr">
        <is>
          <t>Gold: Deck 2 — Spot-anchored flat</t>
        </is>
      </c>
      <c r="D12" s="15" t="n">
        <v>4120</v>
      </c>
      <c r="E12" s="15" t="n">
        <v>4120</v>
      </c>
      <c r="F12" s="15" t="n">
        <v>4120</v>
      </c>
      <c r="G12" s="15" t="n">
        <v>4120</v>
      </c>
      <c r="H12" s="15" t="n">
        <v>4120</v>
      </c>
      <c r="I12" s="15" t="n">
        <v>4120</v>
      </c>
      <c r="J12" s="15" t="n">
        <v>4120</v>
      </c>
      <c r="K12" s="15" t="n">
        <v>4120</v>
      </c>
      <c r="L12" s="15" t="n">
        <v>4120</v>
      </c>
      <c r="M12" s="15" t="n">
        <v>4120</v>
      </c>
    </row>
    <row r="13">
      <c r="A13" t="inlineStr">
        <is>
          <t>Gold: Deck 3 — Structural bull</t>
        </is>
      </c>
      <c r="D13" s="15" t="n">
        <v>4200</v>
      </c>
      <c r="E13" s="15" t="n">
        <v>4500</v>
      </c>
      <c r="F13" s="15" t="n">
        <v>4800</v>
      </c>
      <c r="G13" s="15" t="n">
        <v>4500</v>
      </c>
      <c r="H13" s="15" t="n">
        <v>4400</v>
      </c>
      <c r="I13" s="15" t="n">
        <v>4400</v>
      </c>
      <c r="J13" s="15" t="n">
        <v>4400</v>
      </c>
      <c r="K13" s="15" t="n">
        <v>4400</v>
      </c>
      <c r="L13" s="15" t="n">
        <v>4400</v>
      </c>
      <c r="M13" s="15" t="n">
        <v>4400</v>
      </c>
    </row>
    <row r="14">
      <c r="A14" s="5" t="inlineStr">
        <is>
          <t>Gold price USED (per selected deck)</t>
        </is>
      </c>
      <c r="D14" s="16">
        <f>CHOOSE($B$3,D11,D12,D13)</f>
        <v/>
      </c>
      <c r="E14" s="16">
        <f>CHOOSE($B$3,E11,E12,E13)</f>
        <v/>
      </c>
      <c r="F14" s="16">
        <f>CHOOSE($B$3,F11,F12,F13)</f>
        <v/>
      </c>
      <c r="G14" s="16">
        <f>CHOOSE($B$3,G11,G12,G13)</f>
        <v/>
      </c>
      <c r="H14" s="16">
        <f>CHOOSE($B$3,H11,H12,H13)</f>
        <v/>
      </c>
      <c r="I14" s="16">
        <f>CHOOSE($B$3,I11,I12,I13)</f>
        <v/>
      </c>
      <c r="J14" s="16">
        <f>CHOOSE($B$3,J11,J12,J13)</f>
        <v/>
      </c>
      <c r="K14" s="16">
        <f>CHOOSE($B$3,K11,K12,K13)</f>
        <v/>
      </c>
      <c r="L14" s="16">
        <f>CHOOSE($B$3,L11,L12,L13)</f>
        <v/>
      </c>
      <c r="M14" s="16">
        <f>CHOOSE($B$3,M11,M12,M13)</f>
        <v/>
      </c>
    </row>
    <row r="16">
      <c r="A16" t="inlineStr">
        <is>
          <t>Discount rate (NAV convention: 5% for precious)</t>
        </is>
      </c>
      <c r="B16" s="17" t="n">
        <v>0.05</v>
      </c>
    </row>
    <row r="17">
      <c r="A17" t="inlineStr">
        <is>
          <t>Tax rate — Mexico (income + mining duties, effective)</t>
        </is>
      </c>
      <c r="B17" s="17" t="n">
        <v>0.4</v>
      </c>
    </row>
    <row r="18">
      <c r="A18" t="inlineStr">
        <is>
          <t>Tax rate — US / Nevada (effective)</t>
        </is>
      </c>
      <c r="B18" s="17" t="n">
        <v>0.25</v>
      </c>
    </row>
    <row r="19">
      <c r="A19" t="inlineStr">
        <is>
          <t>Shares outstanding (M)</t>
        </is>
      </c>
      <c r="B19" s="18" t="n">
        <v>488.7</v>
      </c>
    </row>
    <row r="20">
      <c r="A20" t="inlineStr">
        <is>
          <t>Net cash, Q1 2026 ($mm) = 984.8 - 297.4</t>
        </is>
      </c>
      <c r="B20" s="19" t="n">
        <v>687.4</v>
      </c>
    </row>
    <row r="21">
      <c r="A21" t="inlineStr">
        <is>
          <t>Corporate G&amp;A ($mm/yr)</t>
        </is>
      </c>
      <c r="B21" s="15" t="n">
        <v>60</v>
      </c>
    </row>
    <row r="22">
      <c r="A22" t="inlineStr">
        <is>
          <t>G&amp;A years capitalized</t>
        </is>
      </c>
      <c r="B22" s="20" t="n">
        <v>10</v>
      </c>
    </row>
    <row r="23">
      <c r="A23" t="inlineStr">
        <is>
          <t>Current share price (US$, Jul 2 2026)</t>
        </is>
      </c>
      <c r="B23" s="21" t="n">
        <v>17.42</v>
      </c>
    </row>
    <row r="24">
      <c r="A24" t="inlineStr">
        <is>
          <t>Include Jerritt Canyon? (1=yes, 0=no)</t>
        </is>
      </c>
      <c r="B24" s="20" t="n">
        <v>1</v>
      </c>
    </row>
    <row r="27">
      <c r="A27" s="5" t="inlineStr">
        <is>
          <t>Mine parameters</t>
        </is>
      </c>
    </row>
    <row r="28">
      <c r="A28" s="22" t="inlineStr">
        <is>
          <t>Mine</t>
        </is>
      </c>
      <c r="B28" s="22" t="inlineStr">
        <is>
          <t>Ag Moz/yr</t>
        </is>
      </c>
      <c r="C28" s="22" t="inlineStr">
        <is>
          <t>Au koz/yr</t>
        </is>
      </c>
      <c r="D28" s="22" t="inlineStr">
        <is>
          <t>Byprod AgEq Moz/yr</t>
        </is>
      </c>
      <c r="E28" s="22" t="inlineStr">
        <is>
          <t>AISC $/AgEq oz</t>
        </is>
      </c>
      <c r="F28" s="22" t="inlineStr">
        <is>
          <t>P&amp;P reserves attrib (AgEq Moz)</t>
        </is>
      </c>
      <c r="G28" s="22" t="inlineStr">
        <is>
          <t>Reserve life (yrs)</t>
        </is>
      </c>
      <c r="H28" s="22" t="inlineStr">
        <is>
          <t>+ Conversion yrs (judgment)</t>
        </is>
      </c>
      <c r="I28" s="22" t="inlineStr">
        <is>
          <t>Modeled life (yrs)</t>
        </is>
      </c>
    </row>
    <row r="29">
      <c r="A29" t="inlineStr">
        <is>
          <t>San Dimas</t>
        </is>
      </c>
      <c r="B29" s="23" t="n">
        <v>4.2</v>
      </c>
      <c r="C29" s="24" t="n">
        <v>52</v>
      </c>
      <c r="D29" s="23" t="n">
        <v>0</v>
      </c>
      <c r="E29" s="23" t="n">
        <v>25.5</v>
      </c>
      <c r="F29" s="24" t="n">
        <v>22</v>
      </c>
      <c r="G29" s="25">
        <f>F29/(B29+C29/1000*67.5+D29)</f>
        <v/>
      </c>
      <c r="H29" s="20" t="n">
        <v>3</v>
      </c>
      <c r="I29" s="26">
        <f>ROUND(G29,0)+H29</f>
        <v/>
      </c>
    </row>
    <row r="30">
      <c r="A30" t="inlineStr">
        <is>
          <t>Santa Elena</t>
        </is>
      </c>
      <c r="B30" s="23" t="n">
        <v>1.4</v>
      </c>
      <c r="C30" s="24" t="n">
        <v>67.5</v>
      </c>
      <c r="D30" s="23" t="n">
        <v>0</v>
      </c>
      <c r="E30" s="23" t="n">
        <v>25.7</v>
      </c>
      <c r="F30" s="24" t="n">
        <v>48.4</v>
      </c>
      <c r="G30" s="25">
        <f>F30/(B30+C30/1000*67.5+D30)</f>
        <v/>
      </c>
      <c r="H30" s="20" t="n">
        <v>2</v>
      </c>
      <c r="I30" s="26">
        <f>ROUND(G30,0)+H30</f>
        <v/>
      </c>
    </row>
    <row r="31">
      <c r="A31" t="inlineStr">
        <is>
          <t>Los Gatos (70%)</t>
        </is>
      </c>
      <c r="B31" s="23" t="n">
        <v>5.1</v>
      </c>
      <c r="C31" s="24" t="n">
        <v>3</v>
      </c>
      <c r="D31" s="23" t="n">
        <v>3</v>
      </c>
      <c r="E31" s="23" t="n">
        <v>18.5</v>
      </c>
      <c r="F31" s="24" t="n">
        <v>55.3</v>
      </c>
      <c r="G31" s="25">
        <f>F31/(B31+C31/1000*67.5+D31)</f>
        <v/>
      </c>
      <c r="H31" s="20" t="n">
        <v>3</v>
      </c>
      <c r="I31" s="26">
        <f>ROUND(G31,0)+H31</f>
        <v/>
      </c>
    </row>
    <row r="32">
      <c r="A32" t="inlineStr">
        <is>
          <t>La Encantada</t>
        </is>
      </c>
      <c r="B32" s="23" t="n">
        <v>2.95</v>
      </c>
      <c r="C32" s="24" t="n">
        <v>0</v>
      </c>
      <c r="D32" s="23" t="n">
        <v>0.2</v>
      </c>
      <c r="E32" s="23" t="n">
        <v>31.5</v>
      </c>
      <c r="F32" s="24" t="n">
        <v>13.5</v>
      </c>
      <c r="G32" s="25">
        <f>F32/(B32+C32/1000*67.5+D32)</f>
        <v/>
      </c>
      <c r="H32" s="20" t="n">
        <v>1</v>
      </c>
      <c r="I32" s="26">
        <f>ROUND(G32,0)+H32</f>
        <v/>
      </c>
    </row>
    <row r="34">
      <c r="A34" s="5" t="inlineStr">
        <is>
          <t>Jerritt Canyon restart case (update after Q4 2026 pre-feasibility study)</t>
        </is>
      </c>
    </row>
    <row r="35">
      <c r="A35" t="inlineStr">
        <is>
          <t>Gold production (koz/yr)</t>
        </is>
      </c>
      <c r="B35" s="20" t="n">
        <v>120</v>
      </c>
    </row>
    <row r="36">
      <c r="A36" t="inlineStr">
        <is>
          <t>AISC ($/Au oz)</t>
        </is>
      </c>
      <c r="B36" s="15" t="n">
        <v>1900</v>
      </c>
    </row>
    <row r="37">
      <c r="A37" t="inlineStr">
        <is>
          <t>First production year</t>
        </is>
      </c>
      <c r="B37" s="20" t="n">
        <v>2028</v>
      </c>
    </row>
    <row r="38">
      <c r="A38" t="inlineStr">
        <is>
          <t>Production years modeled</t>
        </is>
      </c>
      <c r="B38" s="20" t="n">
        <v>8</v>
      </c>
    </row>
    <row r="39">
      <c r="A39" t="inlineStr">
        <is>
          <t>Restart capex 2026 ($mm)</t>
        </is>
      </c>
      <c r="B39" s="15" t="n">
        <v>40</v>
      </c>
    </row>
    <row r="40">
      <c r="A40" t="inlineStr">
        <is>
          <t>Restart capex 2027 ($mm)</t>
        </is>
      </c>
      <c r="B40" s="15" t="n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27" t="inlineStr">
        <is>
          <t>San Dimas — mini-DCF</t>
        </is>
      </c>
    </row>
    <row r="3">
      <c r="A3" t="inlineStr">
        <is>
          <t>Year</t>
        </is>
      </c>
      <c r="D3" s="5" t="n">
        <v>2026</v>
      </c>
      <c r="E3" s="5" t="n">
        <v>2027</v>
      </c>
      <c r="F3" s="5" t="n">
        <v>2028</v>
      </c>
      <c r="G3" s="5" t="n">
        <v>2029</v>
      </c>
      <c r="H3" s="5" t="n">
        <v>2030</v>
      </c>
      <c r="I3" s="5" t="n">
        <v>2031</v>
      </c>
      <c r="J3" s="5" t="n">
        <v>2032</v>
      </c>
      <c r="K3" s="5" t="n">
        <v>2033</v>
      </c>
      <c r="L3" s="5" t="n">
        <v>2034</v>
      </c>
      <c r="M3" s="5" t="n">
        <v>2035</v>
      </c>
    </row>
    <row r="4">
      <c r="A4" t="inlineStr">
        <is>
          <t>t</t>
        </is>
      </c>
      <c r="D4" t="n">
        <v>1</v>
      </c>
      <c r="E4" t="n">
        <v>2</v>
      </c>
      <c r="F4" t="n">
        <v>3</v>
      </c>
      <c r="G4" t="n">
        <v>4</v>
      </c>
      <c r="H4" t="n">
        <v>5</v>
      </c>
      <c r="I4" t="n">
        <v>6</v>
      </c>
      <c r="J4" t="n">
        <v>7</v>
      </c>
      <c r="K4" t="n">
        <v>8</v>
      </c>
      <c r="L4" t="n">
        <v>9</v>
      </c>
      <c r="M4" t="n">
        <v>10</v>
      </c>
    </row>
    <row r="5">
      <c r="A5" t="inlineStr">
        <is>
          <t>Active (1/0)</t>
        </is>
      </c>
      <c r="D5">
        <f>IF(D4&lt;=Assumptions!$I$29,1,0)</f>
        <v/>
      </c>
      <c r="E5">
        <f>IF(E4&lt;=Assumptions!$I$29,1,0)</f>
        <v/>
      </c>
      <c r="F5">
        <f>IF(F4&lt;=Assumptions!$I$29,1,0)</f>
        <v/>
      </c>
      <c r="G5">
        <f>IF(G4&lt;=Assumptions!$I$29,1,0)</f>
        <v/>
      </c>
      <c r="H5">
        <f>IF(H4&lt;=Assumptions!$I$29,1,0)</f>
        <v/>
      </c>
      <c r="I5">
        <f>IF(I4&lt;=Assumptions!$I$29,1,0)</f>
        <v/>
      </c>
      <c r="J5">
        <f>IF(J4&lt;=Assumptions!$I$29,1,0)</f>
        <v/>
      </c>
      <c r="K5">
        <f>IF(K4&lt;=Assumptions!$I$29,1,0)</f>
        <v/>
      </c>
      <c r="L5">
        <f>IF(L4&lt;=Assumptions!$I$29,1,0)</f>
        <v/>
      </c>
      <c r="M5">
        <f>IF(M4&lt;=Assumptions!$I$29,1,0)</f>
        <v/>
      </c>
    </row>
    <row r="6">
      <c r="A6" t="inlineStr">
        <is>
          <t>Ag prod (Moz)</t>
        </is>
      </c>
      <c r="D6" s="28">
        <f>Assumptions!$B$29*D5</f>
        <v/>
      </c>
      <c r="E6" s="28">
        <f>Assumptions!$B$29*E5</f>
        <v/>
      </c>
      <c r="F6" s="28">
        <f>Assumptions!$B$29*F5</f>
        <v/>
      </c>
      <c r="G6" s="28">
        <f>Assumptions!$B$29*G5</f>
        <v/>
      </c>
      <c r="H6" s="28">
        <f>Assumptions!$B$29*H5</f>
        <v/>
      </c>
      <c r="I6" s="28">
        <f>Assumptions!$B$29*I5</f>
        <v/>
      </c>
      <c r="J6" s="28">
        <f>Assumptions!$B$29*J5</f>
        <v/>
      </c>
      <c r="K6" s="28">
        <f>Assumptions!$B$29*K5</f>
        <v/>
      </c>
      <c r="L6" s="28">
        <f>Assumptions!$B$29*L5</f>
        <v/>
      </c>
      <c r="M6" s="28">
        <f>Assumptions!$B$29*M5</f>
        <v/>
      </c>
    </row>
    <row r="7">
      <c r="A7" t="inlineStr">
        <is>
          <t>Au prod (koz)</t>
        </is>
      </c>
      <c r="D7" s="25">
        <f>Assumptions!$C$29*D5</f>
        <v/>
      </c>
      <c r="E7" s="25">
        <f>Assumptions!$C$29*E5</f>
        <v/>
      </c>
      <c r="F7" s="25">
        <f>Assumptions!$C$29*F5</f>
        <v/>
      </c>
      <c r="G7" s="25">
        <f>Assumptions!$C$29*G5</f>
        <v/>
      </c>
      <c r="H7" s="25">
        <f>Assumptions!$C$29*H5</f>
        <v/>
      </c>
      <c r="I7" s="25">
        <f>Assumptions!$C$29*I5</f>
        <v/>
      </c>
      <c r="J7" s="25">
        <f>Assumptions!$C$29*J5</f>
        <v/>
      </c>
      <c r="K7" s="25">
        <f>Assumptions!$C$29*K5</f>
        <v/>
      </c>
      <c r="L7" s="25">
        <f>Assumptions!$C$29*L5</f>
        <v/>
      </c>
      <c r="M7" s="25">
        <f>Assumptions!$C$29*M5</f>
        <v/>
      </c>
    </row>
    <row r="8">
      <c r="A8" t="inlineStr">
        <is>
          <t>Byprod AgEq (Moz)</t>
        </is>
      </c>
      <c r="D8" s="28">
        <f>Assumptions!$D$29*D5</f>
        <v/>
      </c>
      <c r="E8" s="28">
        <f>Assumptions!$D$29*E5</f>
        <v/>
      </c>
      <c r="F8" s="28">
        <f>Assumptions!$D$29*F5</f>
        <v/>
      </c>
      <c r="G8" s="28">
        <f>Assumptions!$D$29*G5</f>
        <v/>
      </c>
      <c r="H8" s="28">
        <f>Assumptions!$D$29*H5</f>
        <v/>
      </c>
      <c r="I8" s="28">
        <f>Assumptions!$D$29*I5</f>
        <v/>
      </c>
      <c r="J8" s="28">
        <f>Assumptions!$D$29*J5</f>
        <v/>
      </c>
      <c r="K8" s="28">
        <f>Assumptions!$D$29*K5</f>
        <v/>
      </c>
      <c r="L8" s="28">
        <f>Assumptions!$D$29*L5</f>
        <v/>
      </c>
      <c r="M8" s="28">
        <f>Assumptions!$D$29*M5</f>
        <v/>
      </c>
    </row>
    <row r="9">
      <c r="A9" t="inlineStr">
        <is>
          <t>Ag price</t>
        </is>
      </c>
      <c r="D9" s="16">
        <f>Assumptions!D$9</f>
        <v/>
      </c>
      <c r="E9" s="16">
        <f>Assumptions!E$9</f>
        <v/>
      </c>
      <c r="F9" s="16">
        <f>Assumptions!F$9</f>
        <v/>
      </c>
      <c r="G9" s="16">
        <f>Assumptions!G$9</f>
        <v/>
      </c>
      <c r="H9" s="16">
        <f>Assumptions!H$9</f>
        <v/>
      </c>
      <c r="I9" s="16">
        <f>Assumptions!I$9</f>
        <v/>
      </c>
      <c r="J9" s="16">
        <f>Assumptions!J$9</f>
        <v/>
      </c>
      <c r="K9" s="16">
        <f>Assumptions!K$9</f>
        <v/>
      </c>
      <c r="L9" s="16">
        <f>Assumptions!L$9</f>
        <v/>
      </c>
      <c r="M9" s="16">
        <f>Assumptions!M$9</f>
        <v/>
      </c>
    </row>
    <row r="10">
      <c r="A10" t="inlineStr">
        <is>
          <t>Au price</t>
        </is>
      </c>
      <c r="D10" s="16">
        <f>Assumptions!D$14</f>
        <v/>
      </c>
      <c r="E10" s="16">
        <f>Assumptions!E$14</f>
        <v/>
      </c>
      <c r="F10" s="16">
        <f>Assumptions!F$14</f>
        <v/>
      </c>
      <c r="G10" s="16">
        <f>Assumptions!G$14</f>
        <v/>
      </c>
      <c r="H10" s="16">
        <f>Assumptions!H$14</f>
        <v/>
      </c>
      <c r="I10" s="16">
        <f>Assumptions!I$14</f>
        <v/>
      </c>
      <c r="J10" s="16">
        <f>Assumptions!J$14</f>
        <v/>
      </c>
      <c r="K10" s="16">
        <f>Assumptions!K$14</f>
        <v/>
      </c>
      <c r="L10" s="16">
        <f>Assumptions!L$14</f>
        <v/>
      </c>
      <c r="M10" s="16">
        <f>Assumptions!M$14</f>
        <v/>
      </c>
    </row>
    <row r="11">
      <c r="A11" t="inlineStr">
        <is>
          <t>AgEq total (Moz)</t>
        </is>
      </c>
      <c r="D11" s="28">
        <f>D6+D7/1000*D10/D9+D8</f>
        <v/>
      </c>
      <c r="E11" s="28">
        <f>E6+E7/1000*E10/E9+E8</f>
        <v/>
      </c>
      <c r="F11" s="28">
        <f>F6+F7/1000*F10/F9+F8</f>
        <v/>
      </c>
      <c r="G11" s="28">
        <f>G6+G7/1000*G10/G9+G8</f>
        <v/>
      </c>
      <c r="H11" s="28">
        <f>H6+H7/1000*H10/H9+H8</f>
        <v/>
      </c>
      <c r="I11" s="28">
        <f>I6+I7/1000*I10/I9+I8</f>
        <v/>
      </c>
      <c r="J11" s="28">
        <f>J6+J7/1000*J10/J9+J8</f>
        <v/>
      </c>
      <c r="K11" s="28">
        <f>K6+K7/1000*K10/K9+K8</f>
        <v/>
      </c>
      <c r="L11" s="28">
        <f>L6+L7/1000*L10/L9+L8</f>
        <v/>
      </c>
      <c r="M11" s="28">
        <f>M6+M7/1000*M10/M9+M8</f>
        <v/>
      </c>
    </row>
    <row r="12">
      <c r="A12" t="inlineStr">
        <is>
          <t>Revenue ($mm)</t>
        </is>
      </c>
      <c r="D12" s="16">
        <f>D6*D9+D7/1000*D10+D8*D9</f>
        <v/>
      </c>
      <c r="E12" s="16">
        <f>E6*E9+E7/1000*E10+E8*E9</f>
        <v/>
      </c>
      <c r="F12" s="16">
        <f>F6*F9+F7/1000*F10+F8*F9</f>
        <v/>
      </c>
      <c r="G12" s="16">
        <f>G6*G9+G7/1000*G10+G8*G9</f>
        <v/>
      </c>
      <c r="H12" s="16">
        <f>H6*H9+H7/1000*H10+H8*H9</f>
        <v/>
      </c>
      <c r="I12" s="16">
        <f>I6*I9+I7/1000*I10+I8*I9</f>
        <v/>
      </c>
      <c r="J12" s="16">
        <f>J6*J9+J7/1000*J10+J8*J9</f>
        <v/>
      </c>
      <c r="K12" s="16">
        <f>K6*K9+K7/1000*K10+K8*K9</f>
        <v/>
      </c>
      <c r="L12" s="16">
        <f>L6*L9+L7/1000*L10+L8*L9</f>
        <v/>
      </c>
      <c r="M12" s="16">
        <f>M6*M9+M7/1000*M10+M8*M9</f>
        <v/>
      </c>
    </row>
    <row r="13">
      <c r="A13" t="inlineStr">
        <is>
          <t>AISC cost ($mm)</t>
        </is>
      </c>
      <c r="D13" s="16">
        <f>Assumptions!$E$29*D11</f>
        <v/>
      </c>
      <c r="E13" s="16">
        <f>Assumptions!$E$29*E11</f>
        <v/>
      </c>
      <c r="F13" s="16">
        <f>Assumptions!$E$29*F11</f>
        <v/>
      </c>
      <c r="G13" s="16">
        <f>Assumptions!$E$29*G11</f>
        <v/>
      </c>
      <c r="H13" s="16">
        <f>Assumptions!$E$29*H11</f>
        <v/>
      </c>
      <c r="I13" s="16">
        <f>Assumptions!$E$29*I11</f>
        <v/>
      </c>
      <c r="J13" s="16">
        <f>Assumptions!$E$29*J11</f>
        <v/>
      </c>
      <c r="K13" s="16">
        <f>Assumptions!$E$29*K11</f>
        <v/>
      </c>
      <c r="L13" s="16">
        <f>Assumptions!$E$29*L11</f>
        <v/>
      </c>
      <c r="M13" s="16">
        <f>Assumptions!$E$29*M11</f>
        <v/>
      </c>
    </row>
    <row r="14">
      <c r="A14" t="inlineStr">
        <is>
          <t>Pre-tax CF ($mm)</t>
        </is>
      </c>
      <c r="D14" s="7">
        <f>D12-D13</f>
        <v/>
      </c>
      <c r="E14" s="7">
        <f>E12-E13</f>
        <v/>
      </c>
      <c r="F14" s="7">
        <f>F12-F13</f>
        <v/>
      </c>
      <c r="G14" s="7">
        <f>G12-G13</f>
        <v/>
      </c>
      <c r="H14" s="7">
        <f>H12-H13</f>
        <v/>
      </c>
      <c r="I14" s="7">
        <f>I12-I13</f>
        <v/>
      </c>
      <c r="J14" s="7">
        <f>J12-J13</f>
        <v/>
      </c>
      <c r="K14" s="7">
        <f>K12-K13</f>
        <v/>
      </c>
      <c r="L14" s="7">
        <f>L12-L13</f>
        <v/>
      </c>
      <c r="M14" s="7">
        <f>M12-M13</f>
        <v/>
      </c>
    </row>
    <row r="15">
      <c r="A15" t="inlineStr">
        <is>
          <t>Tax ($mm)</t>
        </is>
      </c>
      <c r="D15" s="16">
        <f>MAX(0,D14*Assumptions!$B$17)</f>
        <v/>
      </c>
      <c r="E15" s="16">
        <f>MAX(0,E14*Assumptions!$B$17)</f>
        <v/>
      </c>
      <c r="F15" s="16">
        <f>MAX(0,F14*Assumptions!$B$17)</f>
        <v/>
      </c>
      <c r="G15" s="16">
        <f>MAX(0,G14*Assumptions!$B$17)</f>
        <v/>
      </c>
      <c r="H15" s="16">
        <f>MAX(0,H14*Assumptions!$B$17)</f>
        <v/>
      </c>
      <c r="I15" s="16">
        <f>MAX(0,I14*Assumptions!$B$17)</f>
        <v/>
      </c>
      <c r="J15" s="16">
        <f>MAX(0,J14*Assumptions!$B$17)</f>
        <v/>
      </c>
      <c r="K15" s="16">
        <f>MAX(0,K14*Assumptions!$B$17)</f>
        <v/>
      </c>
      <c r="L15" s="16">
        <f>MAX(0,L14*Assumptions!$B$17)</f>
        <v/>
      </c>
      <c r="M15" s="16">
        <f>MAX(0,M14*Assumptions!$B$17)</f>
        <v/>
      </c>
    </row>
    <row r="16">
      <c r="A16" t="inlineStr">
        <is>
          <t>After-tax CF ($mm)</t>
        </is>
      </c>
      <c r="D16" s="7">
        <f>D14-D15</f>
        <v/>
      </c>
      <c r="E16" s="7">
        <f>E14-E15</f>
        <v/>
      </c>
      <c r="F16" s="7">
        <f>F14-F15</f>
        <v/>
      </c>
      <c r="G16" s="7">
        <f>G14-G15</f>
        <v/>
      </c>
      <c r="H16" s="7">
        <f>H14-H15</f>
        <v/>
      </c>
      <c r="I16" s="7">
        <f>I14-I15</f>
        <v/>
      </c>
      <c r="J16" s="7">
        <f>J14-J15</f>
        <v/>
      </c>
      <c r="K16" s="7">
        <f>K14-K15</f>
        <v/>
      </c>
      <c r="L16" s="7">
        <f>L14-L15</f>
        <v/>
      </c>
      <c r="M16" s="7">
        <f>M14-M15</f>
        <v/>
      </c>
    </row>
    <row r="17">
      <c r="A17" t="inlineStr">
        <is>
          <t>Discount factor</t>
        </is>
      </c>
      <c r="D17" s="29">
        <f>1/(1+Assumptions!$B$16)^(D4-0.5)</f>
        <v/>
      </c>
      <c r="E17" s="29">
        <f>1/(1+Assumptions!$B$16)^(E4-0.5)</f>
        <v/>
      </c>
      <c r="F17" s="29">
        <f>1/(1+Assumptions!$B$16)^(F4-0.5)</f>
        <v/>
      </c>
      <c r="G17" s="29">
        <f>1/(1+Assumptions!$B$16)^(G4-0.5)</f>
        <v/>
      </c>
      <c r="H17" s="29">
        <f>1/(1+Assumptions!$B$16)^(H4-0.5)</f>
        <v/>
      </c>
      <c r="I17" s="29">
        <f>1/(1+Assumptions!$B$16)^(I4-0.5)</f>
        <v/>
      </c>
      <c r="J17" s="29">
        <f>1/(1+Assumptions!$B$16)^(J4-0.5)</f>
        <v/>
      </c>
      <c r="K17" s="29">
        <f>1/(1+Assumptions!$B$16)^(K4-0.5)</f>
        <v/>
      </c>
      <c r="L17" s="29">
        <f>1/(1+Assumptions!$B$16)^(L4-0.5)</f>
        <v/>
      </c>
      <c r="M17" s="29">
        <f>1/(1+Assumptions!$B$16)^(M4-0.5)</f>
        <v/>
      </c>
    </row>
    <row r="18">
      <c r="A18" t="inlineStr">
        <is>
          <t>PV ($mm)</t>
        </is>
      </c>
      <c r="D18" s="7">
        <f>D16*D17</f>
        <v/>
      </c>
      <c r="E18" s="7">
        <f>E16*E17</f>
        <v/>
      </c>
      <c r="F18" s="7">
        <f>F16*F17</f>
        <v/>
      </c>
      <c r="G18" s="7">
        <f>G16*G17</f>
        <v/>
      </c>
      <c r="H18" s="7">
        <f>H16*H17</f>
        <v/>
      </c>
      <c r="I18" s="7">
        <f>I16*I17</f>
        <v/>
      </c>
      <c r="J18" s="7">
        <f>J16*J17</f>
        <v/>
      </c>
      <c r="K18" s="7">
        <f>K16*K17</f>
        <v/>
      </c>
      <c r="L18" s="7">
        <f>L16*L17</f>
        <v/>
      </c>
      <c r="M18" s="7">
        <f>M16*M17</f>
        <v/>
      </c>
    </row>
    <row r="20">
      <c r="A20" s="5" t="inlineStr">
        <is>
          <t>NPV ($mm)</t>
        </is>
      </c>
      <c r="B20" s="6">
        <f>SUM(D18:M18)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27" t="inlineStr">
        <is>
          <t>Santa Elena — mini-DCF</t>
        </is>
      </c>
    </row>
    <row r="3">
      <c r="A3" t="inlineStr">
        <is>
          <t>Year</t>
        </is>
      </c>
      <c r="D3" s="5" t="n">
        <v>2026</v>
      </c>
      <c r="E3" s="5" t="n">
        <v>2027</v>
      </c>
      <c r="F3" s="5" t="n">
        <v>2028</v>
      </c>
      <c r="G3" s="5" t="n">
        <v>2029</v>
      </c>
      <c r="H3" s="5" t="n">
        <v>2030</v>
      </c>
      <c r="I3" s="5" t="n">
        <v>2031</v>
      </c>
      <c r="J3" s="5" t="n">
        <v>2032</v>
      </c>
      <c r="K3" s="5" t="n">
        <v>2033</v>
      </c>
      <c r="L3" s="5" t="n">
        <v>2034</v>
      </c>
      <c r="M3" s="5" t="n">
        <v>2035</v>
      </c>
    </row>
    <row r="4">
      <c r="A4" t="inlineStr">
        <is>
          <t>t</t>
        </is>
      </c>
      <c r="D4" t="n">
        <v>1</v>
      </c>
      <c r="E4" t="n">
        <v>2</v>
      </c>
      <c r="F4" t="n">
        <v>3</v>
      </c>
      <c r="G4" t="n">
        <v>4</v>
      </c>
      <c r="H4" t="n">
        <v>5</v>
      </c>
      <c r="I4" t="n">
        <v>6</v>
      </c>
      <c r="J4" t="n">
        <v>7</v>
      </c>
      <c r="K4" t="n">
        <v>8</v>
      </c>
      <c r="L4" t="n">
        <v>9</v>
      </c>
      <c r="M4" t="n">
        <v>10</v>
      </c>
    </row>
    <row r="5">
      <c r="A5" t="inlineStr">
        <is>
          <t>Active (1/0)</t>
        </is>
      </c>
      <c r="D5">
        <f>IF(D4&lt;=Assumptions!$I$30,1,0)</f>
        <v/>
      </c>
      <c r="E5">
        <f>IF(E4&lt;=Assumptions!$I$30,1,0)</f>
        <v/>
      </c>
      <c r="F5">
        <f>IF(F4&lt;=Assumptions!$I$30,1,0)</f>
        <v/>
      </c>
      <c r="G5">
        <f>IF(G4&lt;=Assumptions!$I$30,1,0)</f>
        <v/>
      </c>
      <c r="H5">
        <f>IF(H4&lt;=Assumptions!$I$30,1,0)</f>
        <v/>
      </c>
      <c r="I5">
        <f>IF(I4&lt;=Assumptions!$I$30,1,0)</f>
        <v/>
      </c>
      <c r="J5">
        <f>IF(J4&lt;=Assumptions!$I$30,1,0)</f>
        <v/>
      </c>
      <c r="K5">
        <f>IF(K4&lt;=Assumptions!$I$30,1,0)</f>
        <v/>
      </c>
      <c r="L5">
        <f>IF(L4&lt;=Assumptions!$I$30,1,0)</f>
        <v/>
      </c>
      <c r="M5">
        <f>IF(M4&lt;=Assumptions!$I$30,1,0)</f>
        <v/>
      </c>
    </row>
    <row r="6">
      <c r="A6" t="inlineStr">
        <is>
          <t>Ag prod (Moz)</t>
        </is>
      </c>
      <c r="D6" s="28">
        <f>Assumptions!$B$30*D5</f>
        <v/>
      </c>
      <c r="E6" s="28">
        <f>Assumptions!$B$30*E5</f>
        <v/>
      </c>
      <c r="F6" s="28">
        <f>Assumptions!$B$30*F5</f>
        <v/>
      </c>
      <c r="G6" s="28">
        <f>Assumptions!$B$30*G5</f>
        <v/>
      </c>
      <c r="H6" s="28">
        <f>Assumptions!$B$30*H5</f>
        <v/>
      </c>
      <c r="I6" s="28">
        <f>Assumptions!$B$30*I5</f>
        <v/>
      </c>
      <c r="J6" s="28">
        <f>Assumptions!$B$30*J5</f>
        <v/>
      </c>
      <c r="K6" s="28">
        <f>Assumptions!$B$30*K5</f>
        <v/>
      </c>
      <c r="L6" s="28">
        <f>Assumptions!$B$30*L5</f>
        <v/>
      </c>
      <c r="M6" s="28">
        <f>Assumptions!$B$30*M5</f>
        <v/>
      </c>
    </row>
    <row r="7">
      <c r="A7" t="inlineStr">
        <is>
          <t>Au prod (koz)</t>
        </is>
      </c>
      <c r="D7" s="25">
        <f>Assumptions!$C$30*D5</f>
        <v/>
      </c>
      <c r="E7" s="25">
        <f>Assumptions!$C$30*E5</f>
        <v/>
      </c>
      <c r="F7" s="25">
        <f>Assumptions!$C$30*F5</f>
        <v/>
      </c>
      <c r="G7" s="25">
        <f>Assumptions!$C$30*G5</f>
        <v/>
      </c>
      <c r="H7" s="25">
        <f>Assumptions!$C$30*H5</f>
        <v/>
      </c>
      <c r="I7" s="25">
        <f>Assumptions!$C$30*I5</f>
        <v/>
      </c>
      <c r="J7" s="25">
        <f>Assumptions!$C$30*J5</f>
        <v/>
      </c>
      <c r="K7" s="25">
        <f>Assumptions!$C$30*K5</f>
        <v/>
      </c>
      <c r="L7" s="25">
        <f>Assumptions!$C$30*L5</f>
        <v/>
      </c>
      <c r="M7" s="25">
        <f>Assumptions!$C$30*M5</f>
        <v/>
      </c>
    </row>
    <row r="8">
      <c r="A8" t="inlineStr">
        <is>
          <t>Byprod AgEq (Moz)</t>
        </is>
      </c>
      <c r="D8" s="28">
        <f>Assumptions!$D$30*D5</f>
        <v/>
      </c>
      <c r="E8" s="28">
        <f>Assumptions!$D$30*E5</f>
        <v/>
      </c>
      <c r="F8" s="28">
        <f>Assumptions!$D$30*F5</f>
        <v/>
      </c>
      <c r="G8" s="28">
        <f>Assumptions!$D$30*G5</f>
        <v/>
      </c>
      <c r="H8" s="28">
        <f>Assumptions!$D$30*H5</f>
        <v/>
      </c>
      <c r="I8" s="28">
        <f>Assumptions!$D$30*I5</f>
        <v/>
      </c>
      <c r="J8" s="28">
        <f>Assumptions!$D$30*J5</f>
        <v/>
      </c>
      <c r="K8" s="28">
        <f>Assumptions!$D$30*K5</f>
        <v/>
      </c>
      <c r="L8" s="28">
        <f>Assumptions!$D$30*L5</f>
        <v/>
      </c>
      <c r="M8" s="28">
        <f>Assumptions!$D$30*M5</f>
        <v/>
      </c>
    </row>
    <row r="9">
      <c r="A9" t="inlineStr">
        <is>
          <t>Ag price</t>
        </is>
      </c>
      <c r="D9" s="16">
        <f>Assumptions!D$9</f>
        <v/>
      </c>
      <c r="E9" s="16">
        <f>Assumptions!E$9</f>
        <v/>
      </c>
      <c r="F9" s="16">
        <f>Assumptions!F$9</f>
        <v/>
      </c>
      <c r="G9" s="16">
        <f>Assumptions!G$9</f>
        <v/>
      </c>
      <c r="H9" s="16">
        <f>Assumptions!H$9</f>
        <v/>
      </c>
      <c r="I9" s="16">
        <f>Assumptions!I$9</f>
        <v/>
      </c>
      <c r="J9" s="16">
        <f>Assumptions!J$9</f>
        <v/>
      </c>
      <c r="K9" s="16">
        <f>Assumptions!K$9</f>
        <v/>
      </c>
      <c r="L9" s="16">
        <f>Assumptions!L$9</f>
        <v/>
      </c>
      <c r="M9" s="16">
        <f>Assumptions!M$9</f>
        <v/>
      </c>
    </row>
    <row r="10">
      <c r="A10" t="inlineStr">
        <is>
          <t>Au price</t>
        </is>
      </c>
      <c r="D10" s="16">
        <f>Assumptions!D$14</f>
        <v/>
      </c>
      <c r="E10" s="16">
        <f>Assumptions!E$14</f>
        <v/>
      </c>
      <c r="F10" s="16">
        <f>Assumptions!F$14</f>
        <v/>
      </c>
      <c r="G10" s="16">
        <f>Assumptions!G$14</f>
        <v/>
      </c>
      <c r="H10" s="16">
        <f>Assumptions!H$14</f>
        <v/>
      </c>
      <c r="I10" s="16">
        <f>Assumptions!I$14</f>
        <v/>
      </c>
      <c r="J10" s="16">
        <f>Assumptions!J$14</f>
        <v/>
      </c>
      <c r="K10" s="16">
        <f>Assumptions!K$14</f>
        <v/>
      </c>
      <c r="L10" s="16">
        <f>Assumptions!L$14</f>
        <v/>
      </c>
      <c r="M10" s="16">
        <f>Assumptions!M$14</f>
        <v/>
      </c>
    </row>
    <row r="11">
      <c r="A11" t="inlineStr">
        <is>
          <t>AgEq total (Moz)</t>
        </is>
      </c>
      <c r="D11" s="28">
        <f>D6+D7/1000*D10/D9+D8</f>
        <v/>
      </c>
      <c r="E11" s="28">
        <f>E6+E7/1000*E10/E9+E8</f>
        <v/>
      </c>
      <c r="F11" s="28">
        <f>F6+F7/1000*F10/F9+F8</f>
        <v/>
      </c>
      <c r="G11" s="28">
        <f>G6+G7/1000*G10/G9+G8</f>
        <v/>
      </c>
      <c r="H11" s="28">
        <f>H6+H7/1000*H10/H9+H8</f>
        <v/>
      </c>
      <c r="I11" s="28">
        <f>I6+I7/1000*I10/I9+I8</f>
        <v/>
      </c>
      <c r="J11" s="28">
        <f>J6+J7/1000*J10/J9+J8</f>
        <v/>
      </c>
      <c r="K11" s="28">
        <f>K6+K7/1000*K10/K9+K8</f>
        <v/>
      </c>
      <c r="L11" s="28">
        <f>L6+L7/1000*L10/L9+L8</f>
        <v/>
      </c>
      <c r="M11" s="28">
        <f>M6+M7/1000*M10/M9+M8</f>
        <v/>
      </c>
    </row>
    <row r="12">
      <c r="A12" t="inlineStr">
        <is>
          <t>Revenue ($mm)</t>
        </is>
      </c>
      <c r="D12" s="16">
        <f>D6*D9+D7/1000*D10+D8*D9</f>
        <v/>
      </c>
      <c r="E12" s="16">
        <f>E6*E9+E7/1000*E10+E8*E9</f>
        <v/>
      </c>
      <c r="F12" s="16">
        <f>F6*F9+F7/1000*F10+F8*F9</f>
        <v/>
      </c>
      <c r="G12" s="16">
        <f>G6*G9+G7/1000*G10+G8*G9</f>
        <v/>
      </c>
      <c r="H12" s="16">
        <f>H6*H9+H7/1000*H10+H8*H9</f>
        <v/>
      </c>
      <c r="I12" s="16">
        <f>I6*I9+I7/1000*I10+I8*I9</f>
        <v/>
      </c>
      <c r="J12" s="16">
        <f>J6*J9+J7/1000*J10+J8*J9</f>
        <v/>
      </c>
      <c r="K12" s="16">
        <f>K6*K9+K7/1000*K10+K8*K9</f>
        <v/>
      </c>
      <c r="L12" s="16">
        <f>L6*L9+L7/1000*L10+L8*L9</f>
        <v/>
      </c>
      <c r="M12" s="16">
        <f>M6*M9+M7/1000*M10+M8*M9</f>
        <v/>
      </c>
    </row>
    <row r="13">
      <c r="A13" t="inlineStr">
        <is>
          <t>AISC cost ($mm)</t>
        </is>
      </c>
      <c r="D13" s="16">
        <f>Assumptions!$E$30*D11</f>
        <v/>
      </c>
      <c r="E13" s="16">
        <f>Assumptions!$E$30*E11</f>
        <v/>
      </c>
      <c r="F13" s="16">
        <f>Assumptions!$E$30*F11</f>
        <v/>
      </c>
      <c r="G13" s="16">
        <f>Assumptions!$E$30*G11</f>
        <v/>
      </c>
      <c r="H13" s="16">
        <f>Assumptions!$E$30*H11</f>
        <v/>
      </c>
      <c r="I13" s="16">
        <f>Assumptions!$E$30*I11</f>
        <v/>
      </c>
      <c r="J13" s="16">
        <f>Assumptions!$E$30*J11</f>
        <v/>
      </c>
      <c r="K13" s="16">
        <f>Assumptions!$E$30*K11</f>
        <v/>
      </c>
      <c r="L13" s="16">
        <f>Assumptions!$E$30*L11</f>
        <v/>
      </c>
      <c r="M13" s="16">
        <f>Assumptions!$E$30*M11</f>
        <v/>
      </c>
    </row>
    <row r="14">
      <c r="A14" t="inlineStr">
        <is>
          <t>Pre-tax CF ($mm)</t>
        </is>
      </c>
      <c r="D14" s="7">
        <f>D12-D13</f>
        <v/>
      </c>
      <c r="E14" s="7">
        <f>E12-E13</f>
        <v/>
      </c>
      <c r="F14" s="7">
        <f>F12-F13</f>
        <v/>
      </c>
      <c r="G14" s="7">
        <f>G12-G13</f>
        <v/>
      </c>
      <c r="H14" s="7">
        <f>H12-H13</f>
        <v/>
      </c>
      <c r="I14" s="7">
        <f>I12-I13</f>
        <v/>
      </c>
      <c r="J14" s="7">
        <f>J12-J13</f>
        <v/>
      </c>
      <c r="K14" s="7">
        <f>K12-K13</f>
        <v/>
      </c>
      <c r="L14" s="7">
        <f>L12-L13</f>
        <v/>
      </c>
      <c r="M14" s="7">
        <f>M12-M13</f>
        <v/>
      </c>
    </row>
    <row r="15">
      <c r="A15" t="inlineStr">
        <is>
          <t>Tax ($mm)</t>
        </is>
      </c>
      <c r="D15" s="16">
        <f>MAX(0,D14*Assumptions!$B$17)</f>
        <v/>
      </c>
      <c r="E15" s="16">
        <f>MAX(0,E14*Assumptions!$B$17)</f>
        <v/>
      </c>
      <c r="F15" s="16">
        <f>MAX(0,F14*Assumptions!$B$17)</f>
        <v/>
      </c>
      <c r="G15" s="16">
        <f>MAX(0,G14*Assumptions!$B$17)</f>
        <v/>
      </c>
      <c r="H15" s="16">
        <f>MAX(0,H14*Assumptions!$B$17)</f>
        <v/>
      </c>
      <c r="I15" s="16">
        <f>MAX(0,I14*Assumptions!$B$17)</f>
        <v/>
      </c>
      <c r="J15" s="16">
        <f>MAX(0,J14*Assumptions!$B$17)</f>
        <v/>
      </c>
      <c r="K15" s="16">
        <f>MAX(0,K14*Assumptions!$B$17)</f>
        <v/>
      </c>
      <c r="L15" s="16">
        <f>MAX(0,L14*Assumptions!$B$17)</f>
        <v/>
      </c>
      <c r="M15" s="16">
        <f>MAX(0,M14*Assumptions!$B$17)</f>
        <v/>
      </c>
    </row>
    <row r="16">
      <c r="A16" t="inlineStr">
        <is>
          <t>After-tax CF ($mm)</t>
        </is>
      </c>
      <c r="D16" s="7">
        <f>D14-D15</f>
        <v/>
      </c>
      <c r="E16" s="7">
        <f>E14-E15</f>
        <v/>
      </c>
      <c r="F16" s="7">
        <f>F14-F15</f>
        <v/>
      </c>
      <c r="G16" s="7">
        <f>G14-G15</f>
        <v/>
      </c>
      <c r="H16" s="7">
        <f>H14-H15</f>
        <v/>
      </c>
      <c r="I16" s="7">
        <f>I14-I15</f>
        <v/>
      </c>
      <c r="J16" s="7">
        <f>J14-J15</f>
        <v/>
      </c>
      <c r="K16" s="7">
        <f>K14-K15</f>
        <v/>
      </c>
      <c r="L16" s="7">
        <f>L14-L15</f>
        <v/>
      </c>
      <c r="M16" s="7">
        <f>M14-M15</f>
        <v/>
      </c>
    </row>
    <row r="17">
      <c r="A17" t="inlineStr">
        <is>
          <t>Discount factor</t>
        </is>
      </c>
      <c r="D17" s="29">
        <f>1/(1+Assumptions!$B$16)^(D4-0.5)</f>
        <v/>
      </c>
      <c r="E17" s="29">
        <f>1/(1+Assumptions!$B$16)^(E4-0.5)</f>
        <v/>
      </c>
      <c r="F17" s="29">
        <f>1/(1+Assumptions!$B$16)^(F4-0.5)</f>
        <v/>
      </c>
      <c r="G17" s="29">
        <f>1/(1+Assumptions!$B$16)^(G4-0.5)</f>
        <v/>
      </c>
      <c r="H17" s="29">
        <f>1/(1+Assumptions!$B$16)^(H4-0.5)</f>
        <v/>
      </c>
      <c r="I17" s="29">
        <f>1/(1+Assumptions!$B$16)^(I4-0.5)</f>
        <v/>
      </c>
      <c r="J17" s="29">
        <f>1/(1+Assumptions!$B$16)^(J4-0.5)</f>
        <v/>
      </c>
      <c r="K17" s="29">
        <f>1/(1+Assumptions!$B$16)^(K4-0.5)</f>
        <v/>
      </c>
      <c r="L17" s="29">
        <f>1/(1+Assumptions!$B$16)^(L4-0.5)</f>
        <v/>
      </c>
      <c r="M17" s="29">
        <f>1/(1+Assumptions!$B$16)^(M4-0.5)</f>
        <v/>
      </c>
    </row>
    <row r="18">
      <c r="A18" t="inlineStr">
        <is>
          <t>PV ($mm)</t>
        </is>
      </c>
      <c r="D18" s="7">
        <f>D16*D17</f>
        <v/>
      </c>
      <c r="E18" s="7">
        <f>E16*E17</f>
        <v/>
      </c>
      <c r="F18" s="7">
        <f>F16*F17</f>
        <v/>
      </c>
      <c r="G18" s="7">
        <f>G16*G17</f>
        <v/>
      </c>
      <c r="H18" s="7">
        <f>H16*H17</f>
        <v/>
      </c>
      <c r="I18" s="7">
        <f>I16*I17</f>
        <v/>
      </c>
      <c r="J18" s="7">
        <f>J16*J17</f>
        <v/>
      </c>
      <c r="K18" s="7">
        <f>K16*K17</f>
        <v/>
      </c>
      <c r="L18" s="7">
        <f>L16*L17</f>
        <v/>
      </c>
      <c r="M18" s="7">
        <f>M16*M17</f>
        <v/>
      </c>
    </row>
    <row r="20">
      <c r="A20" s="5" t="inlineStr">
        <is>
          <t>NPV ($mm)</t>
        </is>
      </c>
      <c r="B20" s="6">
        <f>SUM(D18:M18)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27" t="inlineStr">
        <is>
          <t>Los Gatos (70%) — mini-DCF</t>
        </is>
      </c>
    </row>
    <row r="3">
      <c r="A3" t="inlineStr">
        <is>
          <t>Year</t>
        </is>
      </c>
      <c r="D3" s="5" t="n">
        <v>2026</v>
      </c>
      <c r="E3" s="5" t="n">
        <v>2027</v>
      </c>
      <c r="F3" s="5" t="n">
        <v>2028</v>
      </c>
      <c r="G3" s="5" t="n">
        <v>2029</v>
      </c>
      <c r="H3" s="5" t="n">
        <v>2030</v>
      </c>
      <c r="I3" s="5" t="n">
        <v>2031</v>
      </c>
      <c r="J3" s="5" t="n">
        <v>2032</v>
      </c>
      <c r="K3" s="5" t="n">
        <v>2033</v>
      </c>
      <c r="L3" s="5" t="n">
        <v>2034</v>
      </c>
      <c r="M3" s="5" t="n">
        <v>2035</v>
      </c>
    </row>
    <row r="4">
      <c r="A4" t="inlineStr">
        <is>
          <t>t</t>
        </is>
      </c>
      <c r="D4" t="n">
        <v>1</v>
      </c>
      <c r="E4" t="n">
        <v>2</v>
      </c>
      <c r="F4" t="n">
        <v>3</v>
      </c>
      <c r="G4" t="n">
        <v>4</v>
      </c>
      <c r="H4" t="n">
        <v>5</v>
      </c>
      <c r="I4" t="n">
        <v>6</v>
      </c>
      <c r="J4" t="n">
        <v>7</v>
      </c>
      <c r="K4" t="n">
        <v>8</v>
      </c>
      <c r="L4" t="n">
        <v>9</v>
      </c>
      <c r="M4" t="n">
        <v>10</v>
      </c>
    </row>
    <row r="5">
      <c r="A5" t="inlineStr">
        <is>
          <t>Active (1/0)</t>
        </is>
      </c>
      <c r="D5">
        <f>IF(D4&lt;=Assumptions!$I$31,1,0)</f>
        <v/>
      </c>
      <c r="E5">
        <f>IF(E4&lt;=Assumptions!$I$31,1,0)</f>
        <v/>
      </c>
      <c r="F5">
        <f>IF(F4&lt;=Assumptions!$I$31,1,0)</f>
        <v/>
      </c>
      <c r="G5">
        <f>IF(G4&lt;=Assumptions!$I$31,1,0)</f>
        <v/>
      </c>
      <c r="H5">
        <f>IF(H4&lt;=Assumptions!$I$31,1,0)</f>
        <v/>
      </c>
      <c r="I5">
        <f>IF(I4&lt;=Assumptions!$I$31,1,0)</f>
        <v/>
      </c>
      <c r="J5">
        <f>IF(J4&lt;=Assumptions!$I$31,1,0)</f>
        <v/>
      </c>
      <c r="K5">
        <f>IF(K4&lt;=Assumptions!$I$31,1,0)</f>
        <v/>
      </c>
      <c r="L5">
        <f>IF(L4&lt;=Assumptions!$I$31,1,0)</f>
        <v/>
      </c>
      <c r="M5">
        <f>IF(M4&lt;=Assumptions!$I$31,1,0)</f>
        <v/>
      </c>
    </row>
    <row r="6">
      <c r="A6" t="inlineStr">
        <is>
          <t>Ag prod (Moz)</t>
        </is>
      </c>
      <c r="D6" s="28">
        <f>Assumptions!$B$31*D5</f>
        <v/>
      </c>
      <c r="E6" s="28">
        <f>Assumptions!$B$31*E5</f>
        <v/>
      </c>
      <c r="F6" s="28">
        <f>Assumptions!$B$31*F5</f>
        <v/>
      </c>
      <c r="G6" s="28">
        <f>Assumptions!$B$31*G5</f>
        <v/>
      </c>
      <c r="H6" s="28">
        <f>Assumptions!$B$31*H5</f>
        <v/>
      </c>
      <c r="I6" s="28">
        <f>Assumptions!$B$31*I5</f>
        <v/>
      </c>
      <c r="J6" s="28">
        <f>Assumptions!$B$31*J5</f>
        <v/>
      </c>
      <c r="K6" s="28">
        <f>Assumptions!$B$31*K5</f>
        <v/>
      </c>
      <c r="L6" s="28">
        <f>Assumptions!$B$31*L5</f>
        <v/>
      </c>
      <c r="M6" s="28">
        <f>Assumptions!$B$31*M5</f>
        <v/>
      </c>
    </row>
    <row r="7">
      <c r="A7" t="inlineStr">
        <is>
          <t>Au prod (koz)</t>
        </is>
      </c>
      <c r="D7" s="25">
        <f>Assumptions!$C$31*D5</f>
        <v/>
      </c>
      <c r="E7" s="25">
        <f>Assumptions!$C$31*E5</f>
        <v/>
      </c>
      <c r="F7" s="25">
        <f>Assumptions!$C$31*F5</f>
        <v/>
      </c>
      <c r="G7" s="25">
        <f>Assumptions!$C$31*G5</f>
        <v/>
      </c>
      <c r="H7" s="25">
        <f>Assumptions!$C$31*H5</f>
        <v/>
      </c>
      <c r="I7" s="25">
        <f>Assumptions!$C$31*I5</f>
        <v/>
      </c>
      <c r="J7" s="25">
        <f>Assumptions!$C$31*J5</f>
        <v/>
      </c>
      <c r="K7" s="25">
        <f>Assumptions!$C$31*K5</f>
        <v/>
      </c>
      <c r="L7" s="25">
        <f>Assumptions!$C$31*L5</f>
        <v/>
      </c>
      <c r="M7" s="25">
        <f>Assumptions!$C$31*M5</f>
        <v/>
      </c>
    </row>
    <row r="8">
      <c r="A8" t="inlineStr">
        <is>
          <t>Byprod AgEq (Moz)</t>
        </is>
      </c>
      <c r="D8" s="28">
        <f>Assumptions!$D$31*D5</f>
        <v/>
      </c>
      <c r="E8" s="28">
        <f>Assumptions!$D$31*E5</f>
        <v/>
      </c>
      <c r="F8" s="28">
        <f>Assumptions!$D$31*F5</f>
        <v/>
      </c>
      <c r="G8" s="28">
        <f>Assumptions!$D$31*G5</f>
        <v/>
      </c>
      <c r="H8" s="28">
        <f>Assumptions!$D$31*H5</f>
        <v/>
      </c>
      <c r="I8" s="28">
        <f>Assumptions!$D$31*I5</f>
        <v/>
      </c>
      <c r="J8" s="28">
        <f>Assumptions!$D$31*J5</f>
        <v/>
      </c>
      <c r="K8" s="28">
        <f>Assumptions!$D$31*K5</f>
        <v/>
      </c>
      <c r="L8" s="28">
        <f>Assumptions!$D$31*L5</f>
        <v/>
      </c>
      <c r="M8" s="28">
        <f>Assumptions!$D$31*M5</f>
        <v/>
      </c>
    </row>
    <row r="9">
      <c r="A9" t="inlineStr">
        <is>
          <t>Ag price</t>
        </is>
      </c>
      <c r="D9" s="16">
        <f>Assumptions!D$9</f>
        <v/>
      </c>
      <c r="E9" s="16">
        <f>Assumptions!E$9</f>
        <v/>
      </c>
      <c r="F9" s="16">
        <f>Assumptions!F$9</f>
        <v/>
      </c>
      <c r="G9" s="16">
        <f>Assumptions!G$9</f>
        <v/>
      </c>
      <c r="H9" s="16">
        <f>Assumptions!H$9</f>
        <v/>
      </c>
      <c r="I9" s="16">
        <f>Assumptions!I$9</f>
        <v/>
      </c>
      <c r="J9" s="16">
        <f>Assumptions!J$9</f>
        <v/>
      </c>
      <c r="K9" s="16">
        <f>Assumptions!K$9</f>
        <v/>
      </c>
      <c r="L9" s="16">
        <f>Assumptions!L$9</f>
        <v/>
      </c>
      <c r="M9" s="16">
        <f>Assumptions!M$9</f>
        <v/>
      </c>
    </row>
    <row r="10">
      <c r="A10" t="inlineStr">
        <is>
          <t>Au price</t>
        </is>
      </c>
      <c r="D10" s="16">
        <f>Assumptions!D$14</f>
        <v/>
      </c>
      <c r="E10" s="16">
        <f>Assumptions!E$14</f>
        <v/>
      </c>
      <c r="F10" s="16">
        <f>Assumptions!F$14</f>
        <v/>
      </c>
      <c r="G10" s="16">
        <f>Assumptions!G$14</f>
        <v/>
      </c>
      <c r="H10" s="16">
        <f>Assumptions!H$14</f>
        <v/>
      </c>
      <c r="I10" s="16">
        <f>Assumptions!I$14</f>
        <v/>
      </c>
      <c r="J10" s="16">
        <f>Assumptions!J$14</f>
        <v/>
      </c>
      <c r="K10" s="16">
        <f>Assumptions!K$14</f>
        <v/>
      </c>
      <c r="L10" s="16">
        <f>Assumptions!L$14</f>
        <v/>
      </c>
      <c r="M10" s="16">
        <f>Assumptions!M$14</f>
        <v/>
      </c>
    </row>
    <row r="11">
      <c r="A11" t="inlineStr">
        <is>
          <t>AgEq total (Moz)</t>
        </is>
      </c>
      <c r="D11" s="28">
        <f>D6+D7/1000*D10/D9+D8</f>
        <v/>
      </c>
      <c r="E11" s="28">
        <f>E6+E7/1000*E10/E9+E8</f>
        <v/>
      </c>
      <c r="F11" s="28">
        <f>F6+F7/1000*F10/F9+F8</f>
        <v/>
      </c>
      <c r="G11" s="28">
        <f>G6+G7/1000*G10/G9+G8</f>
        <v/>
      </c>
      <c r="H11" s="28">
        <f>H6+H7/1000*H10/H9+H8</f>
        <v/>
      </c>
      <c r="I11" s="28">
        <f>I6+I7/1000*I10/I9+I8</f>
        <v/>
      </c>
      <c r="J11" s="28">
        <f>J6+J7/1000*J10/J9+J8</f>
        <v/>
      </c>
      <c r="K11" s="28">
        <f>K6+K7/1000*K10/K9+K8</f>
        <v/>
      </c>
      <c r="L11" s="28">
        <f>L6+L7/1000*L10/L9+L8</f>
        <v/>
      </c>
      <c r="M11" s="28">
        <f>M6+M7/1000*M10/M9+M8</f>
        <v/>
      </c>
    </row>
    <row r="12">
      <c r="A12" t="inlineStr">
        <is>
          <t>Revenue ($mm)</t>
        </is>
      </c>
      <c r="D12" s="16">
        <f>D6*D9+D7/1000*D10+D8*D9</f>
        <v/>
      </c>
      <c r="E12" s="16">
        <f>E6*E9+E7/1000*E10+E8*E9</f>
        <v/>
      </c>
      <c r="F12" s="16">
        <f>F6*F9+F7/1000*F10+F8*F9</f>
        <v/>
      </c>
      <c r="G12" s="16">
        <f>G6*G9+G7/1000*G10+G8*G9</f>
        <v/>
      </c>
      <c r="H12" s="16">
        <f>H6*H9+H7/1000*H10+H8*H9</f>
        <v/>
      </c>
      <c r="I12" s="16">
        <f>I6*I9+I7/1000*I10+I8*I9</f>
        <v/>
      </c>
      <c r="J12" s="16">
        <f>J6*J9+J7/1000*J10+J8*J9</f>
        <v/>
      </c>
      <c r="K12" s="16">
        <f>K6*K9+K7/1000*K10+K8*K9</f>
        <v/>
      </c>
      <c r="L12" s="16">
        <f>L6*L9+L7/1000*L10+L8*L9</f>
        <v/>
      </c>
      <c r="M12" s="16">
        <f>M6*M9+M7/1000*M10+M8*M9</f>
        <v/>
      </c>
    </row>
    <row r="13">
      <c r="A13" t="inlineStr">
        <is>
          <t>AISC cost ($mm)</t>
        </is>
      </c>
      <c r="D13" s="16">
        <f>Assumptions!$E$31*D11</f>
        <v/>
      </c>
      <c r="E13" s="16">
        <f>Assumptions!$E$31*E11</f>
        <v/>
      </c>
      <c r="F13" s="16">
        <f>Assumptions!$E$31*F11</f>
        <v/>
      </c>
      <c r="G13" s="16">
        <f>Assumptions!$E$31*G11</f>
        <v/>
      </c>
      <c r="H13" s="16">
        <f>Assumptions!$E$31*H11</f>
        <v/>
      </c>
      <c r="I13" s="16">
        <f>Assumptions!$E$31*I11</f>
        <v/>
      </c>
      <c r="J13" s="16">
        <f>Assumptions!$E$31*J11</f>
        <v/>
      </c>
      <c r="K13" s="16">
        <f>Assumptions!$E$31*K11</f>
        <v/>
      </c>
      <c r="L13" s="16">
        <f>Assumptions!$E$31*L11</f>
        <v/>
      </c>
      <c r="M13" s="16">
        <f>Assumptions!$E$31*M11</f>
        <v/>
      </c>
    </row>
    <row r="14">
      <c r="A14" t="inlineStr">
        <is>
          <t>Pre-tax CF ($mm)</t>
        </is>
      </c>
      <c r="D14" s="7">
        <f>D12-D13</f>
        <v/>
      </c>
      <c r="E14" s="7">
        <f>E12-E13</f>
        <v/>
      </c>
      <c r="F14" s="7">
        <f>F12-F13</f>
        <v/>
      </c>
      <c r="G14" s="7">
        <f>G12-G13</f>
        <v/>
      </c>
      <c r="H14" s="7">
        <f>H12-H13</f>
        <v/>
      </c>
      <c r="I14" s="7">
        <f>I12-I13</f>
        <v/>
      </c>
      <c r="J14" s="7">
        <f>J12-J13</f>
        <v/>
      </c>
      <c r="K14" s="7">
        <f>K12-K13</f>
        <v/>
      </c>
      <c r="L14" s="7">
        <f>L12-L13</f>
        <v/>
      </c>
      <c r="M14" s="7">
        <f>M12-M13</f>
        <v/>
      </c>
    </row>
    <row r="15">
      <c r="A15" t="inlineStr">
        <is>
          <t>Tax ($mm)</t>
        </is>
      </c>
      <c r="D15" s="16">
        <f>MAX(0,D14*Assumptions!$B$17)</f>
        <v/>
      </c>
      <c r="E15" s="16">
        <f>MAX(0,E14*Assumptions!$B$17)</f>
        <v/>
      </c>
      <c r="F15" s="16">
        <f>MAX(0,F14*Assumptions!$B$17)</f>
        <v/>
      </c>
      <c r="G15" s="16">
        <f>MAX(0,G14*Assumptions!$B$17)</f>
        <v/>
      </c>
      <c r="H15" s="16">
        <f>MAX(0,H14*Assumptions!$B$17)</f>
        <v/>
      </c>
      <c r="I15" s="16">
        <f>MAX(0,I14*Assumptions!$B$17)</f>
        <v/>
      </c>
      <c r="J15" s="16">
        <f>MAX(0,J14*Assumptions!$B$17)</f>
        <v/>
      </c>
      <c r="K15" s="16">
        <f>MAX(0,K14*Assumptions!$B$17)</f>
        <v/>
      </c>
      <c r="L15" s="16">
        <f>MAX(0,L14*Assumptions!$B$17)</f>
        <v/>
      </c>
      <c r="M15" s="16">
        <f>MAX(0,M14*Assumptions!$B$17)</f>
        <v/>
      </c>
    </row>
    <row r="16">
      <c r="A16" t="inlineStr">
        <is>
          <t>After-tax CF ($mm)</t>
        </is>
      </c>
      <c r="D16" s="7">
        <f>D14-D15</f>
        <v/>
      </c>
      <c r="E16" s="7">
        <f>E14-E15</f>
        <v/>
      </c>
      <c r="F16" s="7">
        <f>F14-F15</f>
        <v/>
      </c>
      <c r="G16" s="7">
        <f>G14-G15</f>
        <v/>
      </c>
      <c r="H16" s="7">
        <f>H14-H15</f>
        <v/>
      </c>
      <c r="I16" s="7">
        <f>I14-I15</f>
        <v/>
      </c>
      <c r="J16" s="7">
        <f>J14-J15</f>
        <v/>
      </c>
      <c r="K16" s="7">
        <f>K14-K15</f>
        <v/>
      </c>
      <c r="L16" s="7">
        <f>L14-L15</f>
        <v/>
      </c>
      <c r="M16" s="7">
        <f>M14-M15</f>
        <v/>
      </c>
    </row>
    <row r="17">
      <c r="A17" t="inlineStr">
        <is>
          <t>Discount factor</t>
        </is>
      </c>
      <c r="D17" s="29">
        <f>1/(1+Assumptions!$B$16)^(D4-0.5)</f>
        <v/>
      </c>
      <c r="E17" s="29">
        <f>1/(1+Assumptions!$B$16)^(E4-0.5)</f>
        <v/>
      </c>
      <c r="F17" s="29">
        <f>1/(1+Assumptions!$B$16)^(F4-0.5)</f>
        <v/>
      </c>
      <c r="G17" s="29">
        <f>1/(1+Assumptions!$B$16)^(G4-0.5)</f>
        <v/>
      </c>
      <c r="H17" s="29">
        <f>1/(1+Assumptions!$B$16)^(H4-0.5)</f>
        <v/>
      </c>
      <c r="I17" s="29">
        <f>1/(1+Assumptions!$B$16)^(I4-0.5)</f>
        <v/>
      </c>
      <c r="J17" s="29">
        <f>1/(1+Assumptions!$B$16)^(J4-0.5)</f>
        <v/>
      </c>
      <c r="K17" s="29">
        <f>1/(1+Assumptions!$B$16)^(K4-0.5)</f>
        <v/>
      </c>
      <c r="L17" s="29">
        <f>1/(1+Assumptions!$B$16)^(L4-0.5)</f>
        <v/>
      </c>
      <c r="M17" s="29">
        <f>1/(1+Assumptions!$B$16)^(M4-0.5)</f>
        <v/>
      </c>
    </row>
    <row r="18">
      <c r="A18" t="inlineStr">
        <is>
          <t>PV ($mm)</t>
        </is>
      </c>
      <c r="D18" s="7">
        <f>D16*D17</f>
        <v/>
      </c>
      <c r="E18" s="7">
        <f>E16*E17</f>
        <v/>
      </c>
      <c r="F18" s="7">
        <f>F16*F17</f>
        <v/>
      </c>
      <c r="G18" s="7">
        <f>G16*G17</f>
        <v/>
      </c>
      <c r="H18" s="7">
        <f>H16*H17</f>
        <v/>
      </c>
      <c r="I18" s="7">
        <f>I16*I17</f>
        <v/>
      </c>
      <c r="J18" s="7">
        <f>J16*J17</f>
        <v/>
      </c>
      <c r="K18" s="7">
        <f>K16*K17</f>
        <v/>
      </c>
      <c r="L18" s="7">
        <f>L16*L17</f>
        <v/>
      </c>
      <c r="M18" s="7">
        <f>M16*M17</f>
        <v/>
      </c>
    </row>
    <row r="20">
      <c r="A20" s="5" t="inlineStr">
        <is>
          <t>NPV ($mm)</t>
        </is>
      </c>
      <c r="B20" s="6">
        <f>SUM(D18:M18)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27" t="inlineStr">
        <is>
          <t>La Encantada — mini-DCF</t>
        </is>
      </c>
    </row>
    <row r="3">
      <c r="A3" t="inlineStr">
        <is>
          <t>Year</t>
        </is>
      </c>
      <c r="D3" s="5" t="n">
        <v>2026</v>
      </c>
      <c r="E3" s="5" t="n">
        <v>2027</v>
      </c>
      <c r="F3" s="5" t="n">
        <v>2028</v>
      </c>
      <c r="G3" s="5" t="n">
        <v>2029</v>
      </c>
      <c r="H3" s="5" t="n">
        <v>2030</v>
      </c>
      <c r="I3" s="5" t="n">
        <v>2031</v>
      </c>
      <c r="J3" s="5" t="n">
        <v>2032</v>
      </c>
      <c r="K3" s="5" t="n">
        <v>2033</v>
      </c>
      <c r="L3" s="5" t="n">
        <v>2034</v>
      </c>
      <c r="M3" s="5" t="n">
        <v>2035</v>
      </c>
    </row>
    <row r="4">
      <c r="A4" t="inlineStr">
        <is>
          <t>t</t>
        </is>
      </c>
      <c r="D4" t="n">
        <v>1</v>
      </c>
      <c r="E4" t="n">
        <v>2</v>
      </c>
      <c r="F4" t="n">
        <v>3</v>
      </c>
      <c r="G4" t="n">
        <v>4</v>
      </c>
      <c r="H4" t="n">
        <v>5</v>
      </c>
      <c r="I4" t="n">
        <v>6</v>
      </c>
      <c r="J4" t="n">
        <v>7</v>
      </c>
      <c r="K4" t="n">
        <v>8</v>
      </c>
      <c r="L4" t="n">
        <v>9</v>
      </c>
      <c r="M4" t="n">
        <v>10</v>
      </c>
    </row>
    <row r="5">
      <c r="A5" t="inlineStr">
        <is>
          <t>Active (1/0)</t>
        </is>
      </c>
      <c r="D5">
        <f>IF(D4&lt;=Assumptions!$I$32,1,0)</f>
        <v/>
      </c>
      <c r="E5">
        <f>IF(E4&lt;=Assumptions!$I$32,1,0)</f>
        <v/>
      </c>
      <c r="F5">
        <f>IF(F4&lt;=Assumptions!$I$32,1,0)</f>
        <v/>
      </c>
      <c r="G5">
        <f>IF(G4&lt;=Assumptions!$I$32,1,0)</f>
        <v/>
      </c>
      <c r="H5">
        <f>IF(H4&lt;=Assumptions!$I$32,1,0)</f>
        <v/>
      </c>
      <c r="I5">
        <f>IF(I4&lt;=Assumptions!$I$32,1,0)</f>
        <v/>
      </c>
      <c r="J5">
        <f>IF(J4&lt;=Assumptions!$I$32,1,0)</f>
        <v/>
      </c>
      <c r="K5">
        <f>IF(K4&lt;=Assumptions!$I$32,1,0)</f>
        <v/>
      </c>
      <c r="L5">
        <f>IF(L4&lt;=Assumptions!$I$32,1,0)</f>
        <v/>
      </c>
      <c r="M5">
        <f>IF(M4&lt;=Assumptions!$I$32,1,0)</f>
        <v/>
      </c>
    </row>
    <row r="6">
      <c r="A6" t="inlineStr">
        <is>
          <t>Ag prod (Moz)</t>
        </is>
      </c>
      <c r="D6" s="28">
        <f>Assumptions!$B$32*D5</f>
        <v/>
      </c>
      <c r="E6" s="28">
        <f>Assumptions!$B$32*E5</f>
        <v/>
      </c>
      <c r="F6" s="28">
        <f>Assumptions!$B$32*F5</f>
        <v/>
      </c>
      <c r="G6" s="28">
        <f>Assumptions!$B$32*G5</f>
        <v/>
      </c>
      <c r="H6" s="28">
        <f>Assumptions!$B$32*H5</f>
        <v/>
      </c>
      <c r="I6" s="28">
        <f>Assumptions!$B$32*I5</f>
        <v/>
      </c>
      <c r="J6" s="28">
        <f>Assumptions!$B$32*J5</f>
        <v/>
      </c>
      <c r="K6" s="28">
        <f>Assumptions!$B$32*K5</f>
        <v/>
      </c>
      <c r="L6" s="28">
        <f>Assumptions!$B$32*L5</f>
        <v/>
      </c>
      <c r="M6" s="28">
        <f>Assumptions!$B$32*M5</f>
        <v/>
      </c>
    </row>
    <row r="7">
      <c r="A7" t="inlineStr">
        <is>
          <t>Au prod (koz)</t>
        </is>
      </c>
      <c r="D7" s="25">
        <f>Assumptions!$C$32*D5</f>
        <v/>
      </c>
      <c r="E7" s="25">
        <f>Assumptions!$C$32*E5</f>
        <v/>
      </c>
      <c r="F7" s="25">
        <f>Assumptions!$C$32*F5</f>
        <v/>
      </c>
      <c r="G7" s="25">
        <f>Assumptions!$C$32*G5</f>
        <v/>
      </c>
      <c r="H7" s="25">
        <f>Assumptions!$C$32*H5</f>
        <v/>
      </c>
      <c r="I7" s="25">
        <f>Assumptions!$C$32*I5</f>
        <v/>
      </c>
      <c r="J7" s="25">
        <f>Assumptions!$C$32*J5</f>
        <v/>
      </c>
      <c r="K7" s="25">
        <f>Assumptions!$C$32*K5</f>
        <v/>
      </c>
      <c r="L7" s="25">
        <f>Assumptions!$C$32*L5</f>
        <v/>
      </c>
      <c r="M7" s="25">
        <f>Assumptions!$C$32*M5</f>
        <v/>
      </c>
    </row>
    <row r="8">
      <c r="A8" t="inlineStr">
        <is>
          <t>Byprod AgEq (Moz)</t>
        </is>
      </c>
      <c r="D8" s="28">
        <f>Assumptions!$D$32*D5</f>
        <v/>
      </c>
      <c r="E8" s="28">
        <f>Assumptions!$D$32*E5</f>
        <v/>
      </c>
      <c r="F8" s="28">
        <f>Assumptions!$D$32*F5</f>
        <v/>
      </c>
      <c r="G8" s="28">
        <f>Assumptions!$D$32*G5</f>
        <v/>
      </c>
      <c r="H8" s="28">
        <f>Assumptions!$D$32*H5</f>
        <v/>
      </c>
      <c r="I8" s="28">
        <f>Assumptions!$D$32*I5</f>
        <v/>
      </c>
      <c r="J8" s="28">
        <f>Assumptions!$D$32*J5</f>
        <v/>
      </c>
      <c r="K8" s="28">
        <f>Assumptions!$D$32*K5</f>
        <v/>
      </c>
      <c r="L8" s="28">
        <f>Assumptions!$D$32*L5</f>
        <v/>
      </c>
      <c r="M8" s="28">
        <f>Assumptions!$D$32*M5</f>
        <v/>
      </c>
    </row>
    <row r="9">
      <c r="A9" t="inlineStr">
        <is>
          <t>Ag price</t>
        </is>
      </c>
      <c r="D9" s="16">
        <f>Assumptions!D$9</f>
        <v/>
      </c>
      <c r="E9" s="16">
        <f>Assumptions!E$9</f>
        <v/>
      </c>
      <c r="F9" s="16">
        <f>Assumptions!F$9</f>
        <v/>
      </c>
      <c r="G9" s="16">
        <f>Assumptions!G$9</f>
        <v/>
      </c>
      <c r="H9" s="16">
        <f>Assumptions!H$9</f>
        <v/>
      </c>
      <c r="I9" s="16">
        <f>Assumptions!I$9</f>
        <v/>
      </c>
      <c r="J9" s="16">
        <f>Assumptions!J$9</f>
        <v/>
      </c>
      <c r="K9" s="16">
        <f>Assumptions!K$9</f>
        <v/>
      </c>
      <c r="L9" s="16">
        <f>Assumptions!L$9</f>
        <v/>
      </c>
      <c r="M9" s="16">
        <f>Assumptions!M$9</f>
        <v/>
      </c>
    </row>
    <row r="10">
      <c r="A10" t="inlineStr">
        <is>
          <t>Au price</t>
        </is>
      </c>
      <c r="D10" s="16">
        <f>Assumptions!D$14</f>
        <v/>
      </c>
      <c r="E10" s="16">
        <f>Assumptions!E$14</f>
        <v/>
      </c>
      <c r="F10" s="16">
        <f>Assumptions!F$14</f>
        <v/>
      </c>
      <c r="G10" s="16">
        <f>Assumptions!G$14</f>
        <v/>
      </c>
      <c r="H10" s="16">
        <f>Assumptions!H$14</f>
        <v/>
      </c>
      <c r="I10" s="16">
        <f>Assumptions!I$14</f>
        <v/>
      </c>
      <c r="J10" s="16">
        <f>Assumptions!J$14</f>
        <v/>
      </c>
      <c r="K10" s="16">
        <f>Assumptions!K$14</f>
        <v/>
      </c>
      <c r="L10" s="16">
        <f>Assumptions!L$14</f>
        <v/>
      </c>
      <c r="M10" s="16">
        <f>Assumptions!M$14</f>
        <v/>
      </c>
    </row>
    <row r="11">
      <c r="A11" t="inlineStr">
        <is>
          <t>AgEq total (Moz)</t>
        </is>
      </c>
      <c r="D11" s="28">
        <f>D6+D7/1000*D10/D9+D8</f>
        <v/>
      </c>
      <c r="E11" s="28">
        <f>E6+E7/1000*E10/E9+E8</f>
        <v/>
      </c>
      <c r="F11" s="28">
        <f>F6+F7/1000*F10/F9+F8</f>
        <v/>
      </c>
      <c r="G11" s="28">
        <f>G6+G7/1000*G10/G9+G8</f>
        <v/>
      </c>
      <c r="H11" s="28">
        <f>H6+H7/1000*H10/H9+H8</f>
        <v/>
      </c>
      <c r="I11" s="28">
        <f>I6+I7/1000*I10/I9+I8</f>
        <v/>
      </c>
      <c r="J11" s="28">
        <f>J6+J7/1000*J10/J9+J8</f>
        <v/>
      </c>
      <c r="K11" s="28">
        <f>K6+K7/1000*K10/K9+K8</f>
        <v/>
      </c>
      <c r="L11" s="28">
        <f>L6+L7/1000*L10/L9+L8</f>
        <v/>
      </c>
      <c r="M11" s="28">
        <f>M6+M7/1000*M10/M9+M8</f>
        <v/>
      </c>
    </row>
    <row r="12">
      <c r="A12" t="inlineStr">
        <is>
          <t>Revenue ($mm)</t>
        </is>
      </c>
      <c r="D12" s="16">
        <f>D6*D9+D7/1000*D10+D8*D9</f>
        <v/>
      </c>
      <c r="E12" s="16">
        <f>E6*E9+E7/1000*E10+E8*E9</f>
        <v/>
      </c>
      <c r="F12" s="16">
        <f>F6*F9+F7/1000*F10+F8*F9</f>
        <v/>
      </c>
      <c r="G12" s="16">
        <f>G6*G9+G7/1000*G10+G8*G9</f>
        <v/>
      </c>
      <c r="H12" s="16">
        <f>H6*H9+H7/1000*H10+H8*H9</f>
        <v/>
      </c>
      <c r="I12" s="16">
        <f>I6*I9+I7/1000*I10+I8*I9</f>
        <v/>
      </c>
      <c r="J12" s="16">
        <f>J6*J9+J7/1000*J10+J8*J9</f>
        <v/>
      </c>
      <c r="K12" s="16">
        <f>K6*K9+K7/1000*K10+K8*K9</f>
        <v/>
      </c>
      <c r="L12" s="16">
        <f>L6*L9+L7/1000*L10+L8*L9</f>
        <v/>
      </c>
      <c r="M12" s="16">
        <f>M6*M9+M7/1000*M10+M8*M9</f>
        <v/>
      </c>
    </row>
    <row r="13">
      <c r="A13" t="inlineStr">
        <is>
          <t>AISC cost ($mm)</t>
        </is>
      </c>
      <c r="D13" s="16">
        <f>Assumptions!$E$32*D11</f>
        <v/>
      </c>
      <c r="E13" s="16">
        <f>Assumptions!$E$32*E11</f>
        <v/>
      </c>
      <c r="F13" s="16">
        <f>Assumptions!$E$32*F11</f>
        <v/>
      </c>
      <c r="G13" s="16">
        <f>Assumptions!$E$32*G11</f>
        <v/>
      </c>
      <c r="H13" s="16">
        <f>Assumptions!$E$32*H11</f>
        <v/>
      </c>
      <c r="I13" s="16">
        <f>Assumptions!$E$32*I11</f>
        <v/>
      </c>
      <c r="J13" s="16">
        <f>Assumptions!$E$32*J11</f>
        <v/>
      </c>
      <c r="K13" s="16">
        <f>Assumptions!$E$32*K11</f>
        <v/>
      </c>
      <c r="L13" s="16">
        <f>Assumptions!$E$32*L11</f>
        <v/>
      </c>
      <c r="M13" s="16">
        <f>Assumptions!$E$32*M11</f>
        <v/>
      </c>
    </row>
    <row r="14">
      <c r="A14" t="inlineStr">
        <is>
          <t>Pre-tax CF ($mm)</t>
        </is>
      </c>
      <c r="D14" s="7">
        <f>D12-D13</f>
        <v/>
      </c>
      <c r="E14" s="7">
        <f>E12-E13</f>
        <v/>
      </c>
      <c r="F14" s="7">
        <f>F12-F13</f>
        <v/>
      </c>
      <c r="G14" s="7">
        <f>G12-G13</f>
        <v/>
      </c>
      <c r="H14" s="7">
        <f>H12-H13</f>
        <v/>
      </c>
      <c r="I14" s="7">
        <f>I12-I13</f>
        <v/>
      </c>
      <c r="J14" s="7">
        <f>J12-J13</f>
        <v/>
      </c>
      <c r="K14" s="7">
        <f>K12-K13</f>
        <v/>
      </c>
      <c r="L14" s="7">
        <f>L12-L13</f>
        <v/>
      </c>
      <c r="M14" s="7">
        <f>M12-M13</f>
        <v/>
      </c>
    </row>
    <row r="15">
      <c r="A15" t="inlineStr">
        <is>
          <t>Tax ($mm)</t>
        </is>
      </c>
      <c r="D15" s="16">
        <f>MAX(0,D14*Assumptions!$B$17)</f>
        <v/>
      </c>
      <c r="E15" s="16">
        <f>MAX(0,E14*Assumptions!$B$17)</f>
        <v/>
      </c>
      <c r="F15" s="16">
        <f>MAX(0,F14*Assumptions!$B$17)</f>
        <v/>
      </c>
      <c r="G15" s="16">
        <f>MAX(0,G14*Assumptions!$B$17)</f>
        <v/>
      </c>
      <c r="H15" s="16">
        <f>MAX(0,H14*Assumptions!$B$17)</f>
        <v/>
      </c>
      <c r="I15" s="16">
        <f>MAX(0,I14*Assumptions!$B$17)</f>
        <v/>
      </c>
      <c r="J15" s="16">
        <f>MAX(0,J14*Assumptions!$B$17)</f>
        <v/>
      </c>
      <c r="K15" s="16">
        <f>MAX(0,K14*Assumptions!$B$17)</f>
        <v/>
      </c>
      <c r="L15" s="16">
        <f>MAX(0,L14*Assumptions!$B$17)</f>
        <v/>
      </c>
      <c r="M15" s="16">
        <f>MAX(0,M14*Assumptions!$B$17)</f>
        <v/>
      </c>
    </row>
    <row r="16">
      <c r="A16" t="inlineStr">
        <is>
          <t>After-tax CF ($mm)</t>
        </is>
      </c>
      <c r="D16" s="7">
        <f>D14-D15</f>
        <v/>
      </c>
      <c r="E16" s="7">
        <f>E14-E15</f>
        <v/>
      </c>
      <c r="F16" s="7">
        <f>F14-F15</f>
        <v/>
      </c>
      <c r="G16" s="7">
        <f>G14-G15</f>
        <v/>
      </c>
      <c r="H16" s="7">
        <f>H14-H15</f>
        <v/>
      </c>
      <c r="I16" s="7">
        <f>I14-I15</f>
        <v/>
      </c>
      <c r="J16" s="7">
        <f>J14-J15</f>
        <v/>
      </c>
      <c r="K16" s="7">
        <f>K14-K15</f>
        <v/>
      </c>
      <c r="L16" s="7">
        <f>L14-L15</f>
        <v/>
      </c>
      <c r="M16" s="7">
        <f>M14-M15</f>
        <v/>
      </c>
    </row>
    <row r="17">
      <c r="A17" t="inlineStr">
        <is>
          <t>Discount factor</t>
        </is>
      </c>
      <c r="D17" s="29">
        <f>1/(1+Assumptions!$B$16)^(D4-0.5)</f>
        <v/>
      </c>
      <c r="E17" s="29">
        <f>1/(1+Assumptions!$B$16)^(E4-0.5)</f>
        <v/>
      </c>
      <c r="F17" s="29">
        <f>1/(1+Assumptions!$B$16)^(F4-0.5)</f>
        <v/>
      </c>
      <c r="G17" s="29">
        <f>1/(1+Assumptions!$B$16)^(G4-0.5)</f>
        <v/>
      </c>
      <c r="H17" s="29">
        <f>1/(1+Assumptions!$B$16)^(H4-0.5)</f>
        <v/>
      </c>
      <c r="I17" s="29">
        <f>1/(1+Assumptions!$B$16)^(I4-0.5)</f>
        <v/>
      </c>
      <c r="J17" s="29">
        <f>1/(1+Assumptions!$B$16)^(J4-0.5)</f>
        <v/>
      </c>
      <c r="K17" s="29">
        <f>1/(1+Assumptions!$B$16)^(K4-0.5)</f>
        <v/>
      </c>
      <c r="L17" s="29">
        <f>1/(1+Assumptions!$B$16)^(L4-0.5)</f>
        <v/>
      </c>
      <c r="M17" s="29">
        <f>1/(1+Assumptions!$B$16)^(M4-0.5)</f>
        <v/>
      </c>
    </row>
    <row r="18">
      <c r="A18" t="inlineStr">
        <is>
          <t>PV ($mm)</t>
        </is>
      </c>
      <c r="D18" s="7">
        <f>D16*D17</f>
        <v/>
      </c>
      <c r="E18" s="7">
        <f>E16*E17</f>
        <v/>
      </c>
      <c r="F18" s="7">
        <f>F16*F17</f>
        <v/>
      </c>
      <c r="G18" s="7">
        <f>G16*G17</f>
        <v/>
      </c>
      <c r="H18" s="7">
        <f>H16*H17</f>
        <v/>
      </c>
      <c r="I18" s="7">
        <f>I16*I17</f>
        <v/>
      </c>
      <c r="J18" s="7">
        <f>J16*J17</f>
        <v/>
      </c>
      <c r="K18" s="7">
        <f>K16*K17</f>
        <v/>
      </c>
      <c r="L18" s="7">
        <f>L16*L17</f>
        <v/>
      </c>
      <c r="M18" s="7">
        <f>M16*M17</f>
        <v/>
      </c>
    </row>
    <row r="20">
      <c r="A20" s="5" t="inlineStr">
        <is>
          <t>NPV ($mm)</t>
        </is>
      </c>
      <c r="B20" s="6">
        <f>SUM(D18:M18)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27" t="inlineStr">
        <is>
          <t>Jerritt Canyon restart — simple case (revisit after Q4 2026 PFS)</t>
        </is>
      </c>
    </row>
    <row r="3">
      <c r="A3" t="inlineStr">
        <is>
          <t>Year</t>
        </is>
      </c>
      <c r="D3" s="5" t="n">
        <v>2026</v>
      </c>
      <c r="E3" s="5" t="n">
        <v>2027</v>
      </c>
      <c r="F3" s="5" t="n">
        <v>2028</v>
      </c>
      <c r="G3" s="5" t="n">
        <v>2029</v>
      </c>
      <c r="H3" s="5" t="n">
        <v>2030</v>
      </c>
      <c r="I3" s="5" t="n">
        <v>2031</v>
      </c>
      <c r="J3" s="5" t="n">
        <v>2032</v>
      </c>
      <c r="K3" s="5" t="n">
        <v>2033</v>
      </c>
      <c r="L3" s="5" t="n">
        <v>2034</v>
      </c>
      <c r="M3" s="5" t="n">
        <v>2035</v>
      </c>
    </row>
    <row r="4">
      <c r="A4" t="inlineStr">
        <is>
          <t>t</t>
        </is>
      </c>
      <c r="D4" t="n">
        <v>1</v>
      </c>
      <c r="E4" t="n">
        <v>2</v>
      </c>
      <c r="F4" t="n">
        <v>3</v>
      </c>
      <c r="G4" t="n">
        <v>4</v>
      </c>
      <c r="H4" t="n">
        <v>5</v>
      </c>
      <c r="I4" t="n">
        <v>6</v>
      </c>
      <c r="J4" t="n">
        <v>7</v>
      </c>
      <c r="K4" t="n">
        <v>8</v>
      </c>
      <c r="L4" t="n">
        <v>9</v>
      </c>
      <c r="M4" t="n">
        <v>10</v>
      </c>
    </row>
    <row r="5">
      <c r="A5" t="inlineStr">
        <is>
          <t>Producing (1/0)</t>
        </is>
      </c>
      <c r="D5">
        <f>IF(AND(D3&gt;=Assumptions!$B$37,D3&lt;Assumptions!$B$37+Assumptions!$B$38),1,0)</f>
        <v/>
      </c>
      <c r="E5">
        <f>IF(AND(E3&gt;=Assumptions!$B$37,E3&lt;Assumptions!$B$37+Assumptions!$B$38),1,0)</f>
        <v/>
      </c>
      <c r="F5">
        <f>IF(AND(F3&gt;=Assumptions!$B$37,F3&lt;Assumptions!$B$37+Assumptions!$B$38),1,0)</f>
        <v/>
      </c>
      <c r="G5">
        <f>IF(AND(G3&gt;=Assumptions!$B$37,G3&lt;Assumptions!$B$37+Assumptions!$B$38),1,0)</f>
        <v/>
      </c>
      <c r="H5">
        <f>IF(AND(H3&gt;=Assumptions!$B$37,H3&lt;Assumptions!$B$37+Assumptions!$B$38),1,0)</f>
        <v/>
      </c>
      <c r="I5">
        <f>IF(AND(I3&gt;=Assumptions!$B$37,I3&lt;Assumptions!$B$37+Assumptions!$B$38),1,0)</f>
        <v/>
      </c>
      <c r="J5">
        <f>IF(AND(J3&gt;=Assumptions!$B$37,J3&lt;Assumptions!$B$37+Assumptions!$B$38),1,0)</f>
        <v/>
      </c>
      <c r="K5">
        <f>IF(AND(K3&gt;=Assumptions!$B$37,K3&lt;Assumptions!$B$37+Assumptions!$B$38),1,0)</f>
        <v/>
      </c>
      <c r="L5">
        <f>IF(AND(L3&gt;=Assumptions!$B$37,L3&lt;Assumptions!$B$37+Assumptions!$B$38),1,0)</f>
        <v/>
      </c>
      <c r="M5">
        <f>IF(AND(M3&gt;=Assumptions!$B$37,M3&lt;Assumptions!$B$37+Assumptions!$B$38),1,0)</f>
        <v/>
      </c>
    </row>
    <row r="6">
      <c r="A6" t="inlineStr">
        <is>
          <t>Au prod (koz)</t>
        </is>
      </c>
      <c r="D6" s="26">
        <f>Assumptions!$B$35*D5</f>
        <v/>
      </c>
      <c r="E6" s="26">
        <f>Assumptions!$B$35*E5</f>
        <v/>
      </c>
      <c r="F6" s="26">
        <f>Assumptions!$B$35*F5</f>
        <v/>
      </c>
      <c r="G6" s="26">
        <f>Assumptions!$B$35*G5</f>
        <v/>
      </c>
      <c r="H6" s="26">
        <f>Assumptions!$B$35*H5</f>
        <v/>
      </c>
      <c r="I6" s="26">
        <f>Assumptions!$B$35*I5</f>
        <v/>
      </c>
      <c r="J6" s="26">
        <f>Assumptions!$B$35*J5</f>
        <v/>
      </c>
      <c r="K6" s="26">
        <f>Assumptions!$B$35*K5</f>
        <v/>
      </c>
      <c r="L6" s="26">
        <f>Assumptions!$B$35*L5</f>
        <v/>
      </c>
      <c r="M6" s="26">
        <f>Assumptions!$B$35*M5</f>
        <v/>
      </c>
    </row>
    <row r="7">
      <c r="A7" t="inlineStr">
        <is>
          <t>Au price</t>
        </is>
      </c>
      <c r="D7" s="16">
        <f>Assumptions!D$14</f>
        <v/>
      </c>
      <c r="E7" s="16">
        <f>Assumptions!E$14</f>
        <v/>
      </c>
      <c r="F7" s="16">
        <f>Assumptions!F$14</f>
        <v/>
      </c>
      <c r="G7" s="16">
        <f>Assumptions!G$14</f>
        <v/>
      </c>
      <c r="H7" s="16">
        <f>Assumptions!H$14</f>
        <v/>
      </c>
      <c r="I7" s="16">
        <f>Assumptions!I$14</f>
        <v/>
      </c>
      <c r="J7" s="16">
        <f>Assumptions!J$14</f>
        <v/>
      </c>
      <c r="K7" s="16">
        <f>Assumptions!K$14</f>
        <v/>
      </c>
      <c r="L7" s="16">
        <f>Assumptions!L$14</f>
        <v/>
      </c>
      <c r="M7" s="16">
        <f>Assumptions!M$14</f>
        <v/>
      </c>
    </row>
    <row r="8">
      <c r="A8" t="inlineStr">
        <is>
          <t>Margin $/oz (Au price - AISC)</t>
        </is>
      </c>
      <c r="D8" s="16">
        <f>D7-Assumptions!$B$36</f>
        <v/>
      </c>
      <c r="E8" s="16">
        <f>E7-Assumptions!$B$36</f>
        <v/>
      </c>
      <c r="F8" s="16">
        <f>F7-Assumptions!$B$36</f>
        <v/>
      </c>
      <c r="G8" s="16">
        <f>G7-Assumptions!$B$36</f>
        <v/>
      </c>
      <c r="H8" s="16">
        <f>H7-Assumptions!$B$36</f>
        <v/>
      </c>
      <c r="I8" s="16">
        <f>I7-Assumptions!$B$36</f>
        <v/>
      </c>
      <c r="J8" s="16">
        <f>J7-Assumptions!$B$36</f>
        <v/>
      </c>
      <c r="K8" s="16">
        <f>K7-Assumptions!$B$36</f>
        <v/>
      </c>
      <c r="L8" s="16">
        <f>L7-Assumptions!$B$36</f>
        <v/>
      </c>
      <c r="M8" s="16">
        <f>M7-Assumptions!$B$36</f>
        <v/>
      </c>
    </row>
    <row r="9">
      <c r="A9" t="inlineStr">
        <is>
          <t>Operating CF ($mm)</t>
        </is>
      </c>
      <c r="D9" s="16">
        <f>D6*D8/1000</f>
        <v/>
      </c>
      <c r="E9" s="16">
        <f>E6*E8/1000</f>
        <v/>
      </c>
      <c r="F9" s="16">
        <f>F6*F8/1000</f>
        <v/>
      </c>
      <c r="G9" s="16">
        <f>G6*G8/1000</f>
        <v/>
      </c>
      <c r="H9" s="16">
        <f>H6*H8/1000</f>
        <v/>
      </c>
      <c r="I9" s="16">
        <f>I6*I8/1000</f>
        <v/>
      </c>
      <c r="J9" s="16">
        <f>J6*J8/1000</f>
        <v/>
      </c>
      <c r="K9" s="16">
        <f>K6*K8/1000</f>
        <v/>
      </c>
      <c r="L9" s="16">
        <f>L6*L8/1000</f>
        <v/>
      </c>
      <c r="M9" s="16">
        <f>M6*M8/1000</f>
        <v/>
      </c>
    </row>
    <row r="10">
      <c r="A10" t="inlineStr">
        <is>
          <t>Restart capex ($mm)</t>
        </is>
      </c>
      <c r="D10" s="16">
        <f>Assumptions!$B$39</f>
        <v/>
      </c>
      <c r="E10" s="16">
        <f>Assumptions!$B$40</f>
        <v/>
      </c>
      <c r="F10" s="16" t="n">
        <v>0</v>
      </c>
      <c r="G10" s="16" t="n">
        <v>0</v>
      </c>
      <c r="H10" s="16" t="n">
        <v>0</v>
      </c>
      <c r="I10" s="16" t="n">
        <v>0</v>
      </c>
      <c r="J10" s="16" t="n">
        <v>0</v>
      </c>
      <c r="K10" s="16" t="n">
        <v>0</v>
      </c>
      <c r="L10" s="16" t="n">
        <v>0</v>
      </c>
      <c r="M10" s="16" t="n">
        <v>0</v>
      </c>
    </row>
    <row r="11">
      <c r="A11" t="inlineStr">
        <is>
          <t>Pre-tax CF ($mm)</t>
        </is>
      </c>
      <c r="D11" s="7">
        <f>D9-D10</f>
        <v/>
      </c>
      <c r="E11" s="7">
        <f>E9-E10</f>
        <v/>
      </c>
      <c r="F11" s="7">
        <f>F9-F10</f>
        <v/>
      </c>
      <c r="G11" s="7">
        <f>G9-G10</f>
        <v/>
      </c>
      <c r="H11" s="7">
        <f>H9-H10</f>
        <v/>
      </c>
      <c r="I11" s="7">
        <f>I9-I10</f>
        <v/>
      </c>
      <c r="J11" s="7">
        <f>J9-J10</f>
        <v/>
      </c>
      <c r="K11" s="7">
        <f>K9-K10</f>
        <v/>
      </c>
      <c r="L11" s="7">
        <f>L9-L10</f>
        <v/>
      </c>
      <c r="M11" s="7">
        <f>M9-M10</f>
        <v/>
      </c>
    </row>
    <row r="12">
      <c r="A12" t="inlineStr">
        <is>
          <t>Tax ($mm)</t>
        </is>
      </c>
      <c r="D12" s="16">
        <f>MAX(0,D11*Assumptions!$B$18)</f>
        <v/>
      </c>
      <c r="E12" s="16">
        <f>MAX(0,E11*Assumptions!$B$18)</f>
        <v/>
      </c>
      <c r="F12" s="16">
        <f>MAX(0,F11*Assumptions!$B$18)</f>
        <v/>
      </c>
      <c r="G12" s="16">
        <f>MAX(0,G11*Assumptions!$B$18)</f>
        <v/>
      </c>
      <c r="H12" s="16">
        <f>MAX(0,H11*Assumptions!$B$18)</f>
        <v/>
      </c>
      <c r="I12" s="16">
        <f>MAX(0,I11*Assumptions!$B$18)</f>
        <v/>
      </c>
      <c r="J12" s="16">
        <f>MAX(0,J11*Assumptions!$B$18)</f>
        <v/>
      </c>
      <c r="K12" s="16">
        <f>MAX(0,K11*Assumptions!$B$18)</f>
        <v/>
      </c>
      <c r="L12" s="16">
        <f>MAX(0,L11*Assumptions!$B$18)</f>
        <v/>
      </c>
      <c r="M12" s="16">
        <f>MAX(0,M11*Assumptions!$B$18)</f>
        <v/>
      </c>
    </row>
    <row r="13">
      <c r="A13" t="inlineStr">
        <is>
          <t>After-tax CF ($mm)</t>
        </is>
      </c>
      <c r="D13" s="7">
        <f>D11-D12</f>
        <v/>
      </c>
      <c r="E13" s="7">
        <f>E11-E12</f>
        <v/>
      </c>
      <c r="F13" s="7">
        <f>F11-F12</f>
        <v/>
      </c>
      <c r="G13" s="7">
        <f>G11-G12</f>
        <v/>
      </c>
      <c r="H13" s="7">
        <f>H11-H12</f>
        <v/>
      </c>
      <c r="I13" s="7">
        <f>I11-I12</f>
        <v/>
      </c>
      <c r="J13" s="7">
        <f>J11-J12</f>
        <v/>
      </c>
      <c r="K13" s="7">
        <f>K11-K12</f>
        <v/>
      </c>
      <c r="L13" s="7">
        <f>L11-L12</f>
        <v/>
      </c>
      <c r="M13" s="7">
        <f>M11-M12</f>
        <v/>
      </c>
    </row>
    <row r="14">
      <c r="A14" t="inlineStr">
        <is>
          <t>Discount factor</t>
        </is>
      </c>
      <c r="D14" s="29">
        <f>1/(1+Assumptions!$B$16)^(D4-0.5)</f>
        <v/>
      </c>
      <c r="E14" s="29">
        <f>1/(1+Assumptions!$B$16)^(E4-0.5)</f>
        <v/>
      </c>
      <c r="F14" s="29">
        <f>1/(1+Assumptions!$B$16)^(F4-0.5)</f>
        <v/>
      </c>
      <c r="G14" s="29">
        <f>1/(1+Assumptions!$B$16)^(G4-0.5)</f>
        <v/>
      </c>
      <c r="H14" s="29">
        <f>1/(1+Assumptions!$B$16)^(H4-0.5)</f>
        <v/>
      </c>
      <c r="I14" s="29">
        <f>1/(1+Assumptions!$B$16)^(I4-0.5)</f>
        <v/>
      </c>
      <c r="J14" s="29">
        <f>1/(1+Assumptions!$B$16)^(J4-0.5)</f>
        <v/>
      </c>
      <c r="K14" s="29">
        <f>1/(1+Assumptions!$B$16)^(K4-0.5)</f>
        <v/>
      </c>
      <c r="L14" s="29">
        <f>1/(1+Assumptions!$B$16)^(L4-0.5)</f>
        <v/>
      </c>
      <c r="M14" s="29">
        <f>1/(1+Assumptions!$B$16)^(M4-0.5)</f>
        <v/>
      </c>
    </row>
    <row r="15">
      <c r="A15" t="inlineStr">
        <is>
          <t>PV ($mm)</t>
        </is>
      </c>
      <c r="D15" s="7">
        <f>D13*D14</f>
        <v/>
      </c>
      <c r="E15" s="7">
        <f>E13*E14</f>
        <v/>
      </c>
      <c r="F15" s="7">
        <f>F13*F14</f>
        <v/>
      </c>
      <c r="G15" s="7">
        <f>G13*G14</f>
        <v/>
      </c>
      <c r="H15" s="7">
        <f>H13*H14</f>
        <v/>
      </c>
      <c r="I15" s="7">
        <f>I13*I14</f>
        <v/>
      </c>
      <c r="J15" s="7">
        <f>J13*J14</f>
        <v/>
      </c>
      <c r="K15" s="7">
        <f>K13*K14</f>
        <v/>
      </c>
      <c r="L15" s="7">
        <f>L13*L14</f>
        <v/>
      </c>
      <c r="M15" s="7">
        <f>M13*M14</f>
        <v/>
      </c>
    </row>
    <row r="17">
      <c r="A17" s="5" t="inlineStr">
        <is>
          <t>NPV ($mm)</t>
        </is>
      </c>
      <c r="B17" s="6">
        <f>SUM(D15:M15)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2026-07-02T19:26:20Z</dcterms:created>
  <dcterms:modified xmlns:dcterms="http://purl.org/dc/terms/" xmlns:xsi="http://www.w3.org/2001/XMLSchema-instance" xsi:type="dcterms:W3CDTF">2026-07-02T19:26:20Z</dcterms:modified>
</cp:coreProperties>
</file>