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AI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x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i val="1"/>
    </font>
    <font>
      <color rgb="00008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5" fontId="3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4" fontId="6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166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Metals &amp; Mining Comps Workbook</t>
        </is>
      </c>
    </row>
    <row r="3">
      <c r="A3" t="inlineStr">
        <is>
          <t>Generated 2026-10-20 by metals_engine.py. To refresh: open a terminal in this folder and run:  python metals_engine.py</t>
        </is>
      </c>
    </row>
    <row r="4">
      <c r="A4" t="inlineStr">
        <is>
          <t>Sheets: Returns (performance since the Nov 21 2024 call) | Raw Data (statement inputs, blue = hardcoded from Yahoo Finance)</t>
        </is>
      </c>
    </row>
    <row r="5">
      <c r="A5" t="inlineStr">
        <is>
          <t>Ratios (the MGT 231 framework, green = formulas linking to Raw Data) | Valuation (current multiples) | AISC (manual, from company reports)</t>
        </is>
      </c>
    </row>
    <row r="6">
      <c r="A6" t="inlineStr">
        <is>
          <t>Ratios are within-company so statement currency (GBP for Fresnillo, CAD for Aya) does not distort comparisons.</t>
        </is>
      </c>
    </row>
    <row r="7">
      <c r="A7" t="inlineStr">
        <is>
          <t>Data source: Yahoo Finance via the yfinance library. Verify key figures against company filings before citing.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Name</t>
        </is>
      </c>
      <c r="B1" s="2" t="inlineStr">
        <is>
          <t>Ticker</t>
        </is>
      </c>
      <c r="C1" s="2" t="inlineStr">
        <is>
          <t>Price 2024-11-21</t>
        </is>
      </c>
      <c r="D1" s="2" t="inlineStr">
        <is>
          <t>Price now</t>
        </is>
      </c>
      <c r="E1" s="2" t="inlineStr">
        <is>
          <t>As of</t>
        </is>
      </c>
      <c r="F1" s="2" t="inlineStr">
        <is>
          <t>Total return</t>
        </is>
      </c>
    </row>
    <row r="2">
      <c r="A2" t="inlineStr">
        <is>
          <t>First Majestic Silver</t>
        </is>
      </c>
      <c r="B2" t="inlineStr">
        <is>
          <t>AG</t>
        </is>
      </c>
      <c r="C2" s="3" t="n">
        <v>6.41</v>
      </c>
      <c r="D2" s="3" t="n">
        <v/>
      </c>
      <c r="E2" t="inlineStr">
        <is>
          <t>2026-10-19</t>
        </is>
      </c>
      <c r="F2" s="4">
        <f>IFERROR(D2/C2-1,"n/m")</f>
        <v/>
      </c>
    </row>
    <row r="3">
      <c r="A3" t="inlineStr">
        <is>
          <t>Pan American Silver</t>
        </is>
      </c>
      <c r="B3" t="inlineStr">
        <is>
          <t>PAAS</t>
        </is>
      </c>
      <c r="C3" s="3" t="n">
        <v>22.5</v>
      </c>
      <c r="D3" s="3" t="n">
        <v/>
      </c>
      <c r="E3" t="inlineStr">
        <is>
          <t>2026-10-19</t>
        </is>
      </c>
      <c r="F3" s="4">
        <f>IFERROR(D3/C3-1,"n/m")</f>
        <v/>
      </c>
    </row>
    <row r="4">
      <c r="A4" t="inlineStr">
        <is>
          <t>Fresnillo PLC</t>
        </is>
      </c>
      <c r="B4" t="inlineStr">
        <is>
          <t>FNLPF</t>
        </is>
      </c>
      <c r="C4" s="3" t="n">
        <v>7.96</v>
      </c>
      <c r="D4" s="3" t="n">
        <v>35.8</v>
      </c>
      <c r="E4" t="inlineStr">
        <is>
          <t>2026-10-19</t>
        </is>
      </c>
      <c r="F4" s="4">
        <f>IFERROR(D4/C4-1,"n/m")</f>
        <v/>
      </c>
    </row>
    <row r="5">
      <c r="A5" t="inlineStr">
        <is>
          <t>Hecla Mining</t>
        </is>
      </c>
      <c r="B5" t="inlineStr">
        <is>
          <t>HL</t>
        </is>
      </c>
      <c r="C5" s="3" t="n">
        <v>5.67</v>
      </c>
      <c r="D5" s="3" t="n">
        <v/>
      </c>
      <c r="E5" t="inlineStr">
        <is>
          <t>2026-10-19</t>
        </is>
      </c>
      <c r="F5" s="4">
        <f>IFERROR(D5/C5-1,"n/m")</f>
        <v/>
      </c>
    </row>
    <row r="6">
      <c r="A6" t="inlineStr">
        <is>
          <t>Coeur Mining</t>
        </is>
      </c>
      <c r="B6" t="inlineStr">
        <is>
          <t>CDE</t>
        </is>
      </c>
      <c r="C6" s="3" t="n">
        <v>6.62</v>
      </c>
      <c r="D6" s="3" t="n">
        <v/>
      </c>
      <c r="E6" t="inlineStr">
        <is>
          <t>2026-10-19</t>
        </is>
      </c>
      <c r="F6" s="4">
        <f>IFERROR(D6/C6-1,"n/m")</f>
        <v/>
      </c>
    </row>
    <row r="7">
      <c r="A7" t="inlineStr">
        <is>
          <t>Endeavour Silver</t>
        </is>
      </c>
      <c r="B7" t="inlineStr">
        <is>
          <t>EXK</t>
        </is>
      </c>
      <c r="C7" s="3" t="n">
        <v>4.5</v>
      </c>
      <c r="D7" s="3" t="n">
        <v/>
      </c>
      <c r="E7" t="inlineStr">
        <is>
          <t>2026-10-19</t>
        </is>
      </c>
      <c r="F7" s="4">
        <f>IFERROR(D7/C7-1,"n/m")</f>
        <v/>
      </c>
    </row>
    <row r="8">
      <c r="A8" t="inlineStr">
        <is>
          <t>Fortuna Mining</t>
        </is>
      </c>
      <c r="B8" t="inlineStr">
        <is>
          <t>FSM</t>
        </is>
      </c>
      <c r="C8" s="3" t="n">
        <v>5</v>
      </c>
      <c r="D8" s="3" t="n">
        <v/>
      </c>
      <c r="E8" t="inlineStr">
        <is>
          <t>2026-10-19</t>
        </is>
      </c>
      <c r="F8" s="4">
        <f>IFERROR(D8/C8-1,"n/m")</f>
        <v/>
      </c>
    </row>
    <row r="9">
      <c r="A9" t="inlineStr">
        <is>
          <t>Silvercorp Metals</t>
        </is>
      </c>
      <c r="B9" t="inlineStr">
        <is>
          <t>SVM</t>
        </is>
      </c>
      <c r="C9" s="3" t="n">
        <v>3.34</v>
      </c>
      <c r="D9" s="3" t="n">
        <v/>
      </c>
      <c r="E9" t="inlineStr">
        <is>
          <t>2026-10-19</t>
        </is>
      </c>
      <c r="F9" s="4">
        <f>IFERROR(D9/C9-1,"n/m")</f>
        <v/>
      </c>
    </row>
    <row r="10">
      <c r="A10" t="inlineStr">
        <is>
          <t>Aya Gold &amp; Silver</t>
        </is>
      </c>
      <c r="B10" t="inlineStr">
        <is>
          <t>AYA.TO</t>
        </is>
      </c>
      <c r="C10" s="3" t="n">
        <v>12.76</v>
      </c>
      <c r="D10" s="3" t="n">
        <v>37.4</v>
      </c>
      <c r="E10" t="inlineStr">
        <is>
          <t>2026-10-19</t>
        </is>
      </c>
      <c r="F10" s="4">
        <f>IFERROR(D10/C10-1,"n/m")</f>
        <v/>
      </c>
    </row>
    <row r="11">
      <c r="A11" t="inlineStr">
        <is>
          <t>Avino Silver &amp; Gold</t>
        </is>
      </c>
      <c r="B11" t="inlineStr">
        <is>
          <t>ASM</t>
        </is>
      </c>
      <c r="C11" s="3" t="n">
        <v>1.14</v>
      </c>
      <c r="D11" s="3" t="n">
        <v/>
      </c>
      <c r="E11" t="inlineStr">
        <is>
          <t>2026-10-19</t>
        </is>
      </c>
      <c r="F11" s="4">
        <f>IFERROR(D11/C11-1,"n/m")</f>
        <v/>
      </c>
    </row>
    <row r="12">
      <c r="A12" t="inlineStr">
        <is>
          <t>Silver (spot proxy)</t>
        </is>
      </c>
      <c r="B12" t="inlineStr">
        <is>
          <t>SI=F</t>
        </is>
      </c>
      <c r="C12" s="3" t="n">
        <v>30.91</v>
      </c>
      <c r="D12" s="3" t="n">
        <v>57</v>
      </c>
      <c r="E12" t="inlineStr">
        <is>
          <t>2026-10-19</t>
        </is>
      </c>
      <c r="F12" s="4">
        <f>IFERROR(D12/C12-1,"n/m")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5" t="inlineStr">
        <is>
          <t>All statement figures in millions of the company's reporting currency (source: Yahoo Finance)</t>
        </is>
      </c>
    </row>
    <row r="2">
      <c r="A2" s="2" t="inlineStr">
        <is>
          <t>Ticker</t>
        </is>
      </c>
      <c r="B2" s="2" t="inlineStr">
        <is>
          <t>Year</t>
        </is>
      </c>
      <c r="C2" s="2" t="inlineStr">
        <is>
          <t>Revenue</t>
        </is>
      </c>
      <c r="D2" s="2" t="inlineStr">
        <is>
          <t>EBIT</t>
        </is>
      </c>
      <c r="E2" s="2" t="inlineStr">
        <is>
          <t>EBITDA</t>
        </is>
      </c>
      <c r="F2" s="2" t="inlineStr">
        <is>
          <t>NetIncome</t>
        </is>
      </c>
      <c r="G2" s="2" t="inlineStr">
        <is>
          <t>IntExp</t>
        </is>
      </c>
      <c r="H2" s="2" t="inlineStr">
        <is>
          <t>TotDebt</t>
        </is>
      </c>
      <c r="I2" s="2" t="inlineStr">
        <is>
          <t>Equity</t>
        </is>
      </c>
      <c r="J2" s="2" t="inlineStr">
        <is>
          <t>TotAssets</t>
        </is>
      </c>
      <c r="K2" s="2" t="inlineStr">
        <is>
          <t>CurAssets</t>
        </is>
      </c>
      <c r="L2" s="2" t="inlineStr">
        <is>
          <t>Inventory</t>
        </is>
      </c>
      <c r="M2" s="2" t="inlineStr">
        <is>
          <t>CurLiab</t>
        </is>
      </c>
      <c r="N2" s="2" t="inlineStr">
        <is>
          <t>FCF</t>
        </is>
      </c>
    </row>
    <row r="3">
      <c r="A3" t="inlineStr">
        <is>
          <t>AG</t>
        </is>
      </c>
      <c r="B3" s="6" t="n">
        <v>2025</v>
      </c>
      <c r="C3" s="7" t="n">
        <v>1265.157</v>
      </c>
      <c r="D3" s="7" t="n">
        <v>409.826</v>
      </c>
      <c r="E3" s="7" t="n">
        <v>674.624</v>
      </c>
      <c r="F3" s="7" t="n">
        <v>164.923</v>
      </c>
      <c r="G3" s="7" t="n">
        <v>14.8</v>
      </c>
      <c r="H3" s="7" t="n">
        <v>308.74</v>
      </c>
      <c r="I3" s="7" t="n">
        <v>2761.005</v>
      </c>
      <c r="J3" s="7" t="n">
        <v>4694.915</v>
      </c>
      <c r="K3" s="7" t="n">
        <v>1192.701</v>
      </c>
      <c r="L3" s="7" t="n">
        <v>84.753</v>
      </c>
      <c r="M3" s="7" t="n">
        <v>459.139</v>
      </c>
      <c r="N3" s="7" t="n">
        <v>310.353</v>
      </c>
    </row>
    <row r="4">
      <c r="A4" t="inlineStr">
        <is>
          <t>AG</t>
        </is>
      </c>
      <c r="B4" s="6" t="n">
        <v>2024</v>
      </c>
      <c r="C4" s="7" t="n">
        <v>563.631</v>
      </c>
      <c r="D4" s="7" t="n">
        <v>-11.017</v>
      </c>
      <c r="E4" s="7" t="n">
        <v>114.475</v>
      </c>
      <c r="F4" s="7" t="n">
        <v>-101.885</v>
      </c>
      <c r="G4" s="7" t="n">
        <v>15.437</v>
      </c>
      <c r="H4" s="7" t="n">
        <v>237.017</v>
      </c>
      <c r="I4" s="7" t="n">
        <v>1351.071</v>
      </c>
      <c r="J4" s="7" t="n">
        <v>1979.788</v>
      </c>
      <c r="K4" s="7" t="n">
        <v>368.821</v>
      </c>
      <c r="L4" s="7" t="n">
        <v>62.524</v>
      </c>
      <c r="M4" s="7" t="n">
        <v>144.307</v>
      </c>
      <c r="N4" s="7" t="n">
        <v>36.849</v>
      </c>
    </row>
    <row r="5">
      <c r="A5" t="inlineStr">
        <is>
          <t>AG</t>
        </is>
      </c>
      <c r="B5" s="6" t="n">
        <v>2023</v>
      </c>
      <c r="C5" s="7" t="n">
        <v>576.385</v>
      </c>
      <c r="D5" s="7" t="n">
        <v>-180.666</v>
      </c>
      <c r="E5" s="7" t="n">
        <v>-54.496</v>
      </c>
      <c r="F5" s="7" t="n">
        <v>-135.112</v>
      </c>
      <c r="G5" s="7" t="n">
        <v>15.249</v>
      </c>
      <c r="H5" s="7" t="n">
        <v>256.514</v>
      </c>
      <c r="I5" s="7" t="n">
        <v>1358.12</v>
      </c>
      <c r="J5" s="7" t="n">
        <v>1976.355</v>
      </c>
      <c r="K5" s="7" t="n">
        <v>309.057</v>
      </c>
      <c r="L5" s="7" t="n">
        <v>63.69</v>
      </c>
      <c r="M5" s="7" t="n">
        <v>120.138</v>
      </c>
      <c r="N5" s="7" t="n">
        <v>-90.367</v>
      </c>
    </row>
    <row r="6">
      <c r="A6" t="inlineStr">
        <is>
          <t>AG</t>
        </is>
      </c>
      <c r="B6" s="6" t="n">
        <v>2022</v>
      </c>
      <c r="C6" s="7" t="n">
        <v>626.85</v>
      </c>
      <c r="D6" s="7" t="n">
        <v>-48.463</v>
      </c>
      <c r="E6" s="7" t="n">
        <v>88.94799999999999</v>
      </c>
      <c r="F6" s="7" t="n">
        <v>-114.276</v>
      </c>
      <c r="G6" s="7" t="n">
        <v>12.941</v>
      </c>
      <c r="H6" s="7" t="n">
        <v>247.945</v>
      </c>
      <c r="I6" s="7" t="n">
        <v>1411.298</v>
      </c>
      <c r="J6" s="7" t="n">
        <v>2110.009</v>
      </c>
      <c r="K6" s="7" t="n">
        <v>370.289</v>
      </c>
      <c r="L6" s="7" t="n">
        <v>64.761</v>
      </c>
      <c r="M6" s="7" t="n">
        <v>167.399</v>
      </c>
      <c r="N6" s="7" t="n">
        <v>-198.692</v>
      </c>
    </row>
    <row r="7">
      <c r="A7" t="inlineStr">
        <is>
          <t>ASM</t>
        </is>
      </c>
      <c r="B7" s="6" t="n">
        <v>2025</v>
      </c>
      <c r="C7" s="7" t="n">
        <v>92.227</v>
      </c>
      <c r="D7" s="7" t="n">
        <v>40.214</v>
      </c>
      <c r="E7" s="7" t="n">
        <v>40.214</v>
      </c>
      <c r="F7" s="7" t="n">
        <v>26.643</v>
      </c>
      <c r="G7" s="7" t="n">
        <v>0.316</v>
      </c>
      <c r="H7" s="7" t="n">
        <v>6.014</v>
      </c>
      <c r="I7" s="7" t="n">
        <v>-16.615</v>
      </c>
      <c r="J7" s="7" t="n">
        <v>279.032</v>
      </c>
      <c r="K7" s="7" t="n">
        <v>132.068</v>
      </c>
      <c r="L7" s="7" t="n">
        <v>12.196</v>
      </c>
      <c r="M7" s="7" t="n">
        <v>32.506</v>
      </c>
      <c r="N7" s="7" t="n">
        <v>1.124</v>
      </c>
    </row>
    <row r="8">
      <c r="A8" t="inlineStr">
        <is>
          <t>ASM</t>
        </is>
      </c>
      <c r="B8" s="6" t="n">
        <v>2024</v>
      </c>
      <c r="C8" s="7" t="n">
        <v>66.178</v>
      </c>
      <c r="D8" s="7" t="n">
        <v>14.808</v>
      </c>
      <c r="E8" s="7" t="n">
        <v>18.194</v>
      </c>
      <c r="F8" s="7" t="n">
        <v>8.1</v>
      </c>
      <c r="G8" s="7" t="n">
        <v>0.387</v>
      </c>
      <c r="H8" s="7" t="n">
        <v>2.629</v>
      </c>
      <c r="I8" s="7" t="n">
        <v>-43.323</v>
      </c>
      <c r="J8" s="7" t="n">
        <v>148.711</v>
      </c>
      <c r="K8" s="7" t="n">
        <v>40.769</v>
      </c>
      <c r="L8" s="7" t="n">
        <v>7.611</v>
      </c>
      <c r="M8" s="7" t="n">
        <v>15.534</v>
      </c>
      <c r="N8" s="7" t="n">
        <v>18.669</v>
      </c>
    </row>
    <row r="9">
      <c r="A9" t="inlineStr">
        <is>
          <t>ASM</t>
        </is>
      </c>
      <c r="B9" s="6" t="n">
        <v>2023</v>
      </c>
      <c r="C9" s="7" t="n">
        <v>43.889</v>
      </c>
      <c r="D9" s="7" t="n">
        <v>-0.129</v>
      </c>
      <c r="E9" s="7" t="n">
        <v>2.79</v>
      </c>
      <c r="F9" s="7" t="n">
        <v>0.542</v>
      </c>
      <c r="G9" s="7" t="n">
        <v>0.381</v>
      </c>
      <c r="H9" s="7" t="n">
        <v>3.454</v>
      </c>
      <c r="I9" s="7" t="n">
        <v>-51.423</v>
      </c>
      <c r="J9" s="7" t="n">
        <v>128.34</v>
      </c>
      <c r="K9" s="7" t="n">
        <v>23.535</v>
      </c>
      <c r="L9" s="7" t="n">
        <v>8.826000000000001</v>
      </c>
      <c r="M9" s="7" t="n">
        <v>13.808</v>
      </c>
      <c r="N9" s="7" t="n">
        <v>-5.887</v>
      </c>
    </row>
    <row r="10">
      <c r="A10" t="inlineStr">
        <is>
          <t>ASM</t>
        </is>
      </c>
      <c r="B10" s="6" t="n">
        <v>2022</v>
      </c>
      <c r="C10" s="7" t="n">
        <v>44.187</v>
      </c>
      <c r="D10" s="7" t="n">
        <v>7.779</v>
      </c>
      <c r="E10" s="7" t="n">
        <v>9.965</v>
      </c>
      <c r="F10" s="7" t="n">
        <v>3.096</v>
      </c>
      <c r="G10" s="7" t="n">
        <v>0.099</v>
      </c>
      <c r="H10" s="7" t="n">
        <v>6.642</v>
      </c>
      <c r="I10" s="7" t="n">
        <v>98.021</v>
      </c>
      <c r="J10" s="7" t="n">
        <v>121.196</v>
      </c>
      <c r="K10" s="7" t="n">
        <v>25.585</v>
      </c>
      <c r="L10" s="7" t="n">
        <v>6.26</v>
      </c>
      <c r="M10" s="7" t="n">
        <v>16.764</v>
      </c>
      <c r="N10" s="7" t="n">
        <v>3.995</v>
      </c>
    </row>
    <row r="11">
      <c r="A11" t="inlineStr">
        <is>
          <t>AYA.TO</t>
        </is>
      </c>
      <c r="B11" s="6" t="n">
        <v>2025</v>
      </c>
      <c r="C11" s="7" t="n">
        <v>202.102</v>
      </c>
      <c r="D11" s="7" t="n">
        <v>80.587</v>
      </c>
      <c r="E11" s="7" t="n">
        <v>101.112</v>
      </c>
      <c r="F11" s="7" t="n">
        <v>45.557</v>
      </c>
      <c r="G11" s="7" t="n">
        <v>10.462</v>
      </c>
      <c r="H11" s="7" t="n">
        <v>113.543</v>
      </c>
      <c r="I11" s="7" t="n">
        <v>413.651</v>
      </c>
      <c r="J11" s="7" t="n">
        <v>631.7329999999999</v>
      </c>
      <c r="K11" s="7" t="n">
        <v>232.45</v>
      </c>
      <c r="L11" s="7" t="n">
        <v>34.595</v>
      </c>
      <c r="M11" s="7" t="n">
        <v>120.05</v>
      </c>
      <c r="N11" s="7" t="n">
        <v>-4.245</v>
      </c>
    </row>
    <row r="12">
      <c r="A12" t="inlineStr">
        <is>
          <t>AYA.TO</t>
        </is>
      </c>
      <c r="B12" s="6" t="n">
        <v>2024</v>
      </c>
      <c r="C12" s="7" t="n">
        <v>39.117</v>
      </c>
      <c r="D12" s="7" t="n">
        <v>-24.648</v>
      </c>
      <c r="E12" s="7" t="n">
        <v>-21.278</v>
      </c>
      <c r="F12" s="7" t="n">
        <v>-21.617</v>
      </c>
      <c r="G12" s="7" t="n">
        <v>0.152</v>
      </c>
      <c r="H12" s="7" t="n">
        <v>96.92</v>
      </c>
      <c r="I12" s="7" t="n">
        <v>246.476</v>
      </c>
      <c r="J12" s="7" t="n">
        <v>400.107</v>
      </c>
      <c r="K12" s="7" t="n">
        <v>76.54000000000001</v>
      </c>
      <c r="L12" s="7" t="n">
        <v>27.389</v>
      </c>
      <c r="M12" s="7" t="n">
        <v>53.116</v>
      </c>
      <c r="N12" s="7" t="n">
        <v>-101.61</v>
      </c>
    </row>
    <row r="13">
      <c r="A13" t="inlineStr">
        <is>
          <t>AYA.TO</t>
        </is>
      </c>
      <c r="B13" s="6" t="n">
        <v>2023</v>
      </c>
      <c r="C13" s="7" t="n">
        <v>42.849</v>
      </c>
      <c r="D13" s="7" t="n">
        <v>9.289</v>
      </c>
      <c r="E13" s="7" t="n">
        <v>14.293</v>
      </c>
      <c r="F13" s="7" t="n">
        <v>5.504</v>
      </c>
      <c r="G13" s="7" t="n">
        <v>0.073</v>
      </c>
      <c r="H13" s="7" t="n">
        <v>58.792</v>
      </c>
      <c r="I13" s="7" t="n">
        <v>220.721</v>
      </c>
      <c r="J13" s="7" t="n">
        <v>333.057</v>
      </c>
      <c r="K13" s="7" t="n">
        <v>80.399</v>
      </c>
      <c r="L13" s="7" t="n">
        <v>16.81</v>
      </c>
      <c r="M13" s="7" t="n">
        <v>46.695</v>
      </c>
      <c r="N13" s="7" t="n">
        <v>-98.69</v>
      </c>
    </row>
    <row r="14">
      <c r="A14" t="inlineStr">
        <is>
          <t>AYA.TO</t>
        </is>
      </c>
      <c r="B14" s="6" t="n">
        <v>2022</v>
      </c>
      <c r="C14" s="7" t="n">
        <v>38.245</v>
      </c>
      <c r="D14" s="7" t="n">
        <v>4.831</v>
      </c>
      <c r="E14" s="7" t="n">
        <v>11.173</v>
      </c>
      <c r="F14" s="7" t="n">
        <v>0.466</v>
      </c>
      <c r="G14" s="7" t="n">
        <v>0.25</v>
      </c>
      <c r="H14" s="7" t="n">
        <v>0.287</v>
      </c>
      <c r="I14" s="7" t="n">
        <v>125.722</v>
      </c>
      <c r="J14" s="7" t="n">
        <v>156.804</v>
      </c>
      <c r="K14" s="7" t="n">
        <v>59.815</v>
      </c>
      <c r="L14" s="7" t="n">
        <v>7.688</v>
      </c>
      <c r="M14" s="7" t="n">
        <v>24.241</v>
      </c>
      <c r="N14" s="7" t="n">
        <v>-33.666</v>
      </c>
    </row>
    <row r="15">
      <c r="A15" t="inlineStr">
        <is>
          <t>CDE</t>
        </is>
      </c>
      <c r="B15" s="6" t="n">
        <v>2025</v>
      </c>
      <c r="C15" s="7" t="n">
        <v>2070.126</v>
      </c>
      <c r="D15" s="7" t="n">
        <v>711.1559999999999</v>
      </c>
      <c r="E15" s="7" t="n">
        <v>962.255</v>
      </c>
      <c r="F15" s="7" t="n">
        <v>585.872</v>
      </c>
      <c r="G15" s="7" t="n">
        <v>28.618</v>
      </c>
      <c r="H15" s="7" t="n">
        <v>352.495</v>
      </c>
      <c r="I15" s="7" t="n">
        <v>3313.051</v>
      </c>
      <c r="J15" s="7" t="n">
        <v>4695.682</v>
      </c>
      <c r="K15" s="7" t="n">
        <v>972.677</v>
      </c>
      <c r="L15" s="7" t="n">
        <v>320.791</v>
      </c>
      <c r="M15" s="7" t="n">
        <v>393.144</v>
      </c>
      <c r="N15" s="7" t="n">
        <v>665.717</v>
      </c>
    </row>
    <row r="16">
      <c r="A16" t="inlineStr">
        <is>
          <t>CDE</t>
        </is>
      </c>
      <c r="B16" s="6" t="n">
        <v>2024</v>
      </c>
      <c r="C16" s="7" t="n">
        <v>1054.006</v>
      </c>
      <c r="D16" s="7" t="n">
        <v>175.266</v>
      </c>
      <c r="E16" s="7" t="n">
        <v>300.24</v>
      </c>
      <c r="F16" s="7" t="n">
        <v>58.9</v>
      </c>
      <c r="G16" s="7" t="n">
        <v>48.916</v>
      </c>
      <c r="H16" s="7" t="n">
        <v>601.6559999999999</v>
      </c>
      <c r="I16" s="7" t="n">
        <v>1123.252</v>
      </c>
      <c r="J16" s="7" t="n">
        <v>2301.747</v>
      </c>
      <c r="K16" s="7" t="n">
        <v>273.099</v>
      </c>
      <c r="L16" s="7" t="n">
        <v>171.341</v>
      </c>
      <c r="M16" s="7" t="n">
        <v>330.82</v>
      </c>
      <c r="N16" s="7" t="n">
        <v>-8.954000000000001</v>
      </c>
    </row>
    <row r="17">
      <c r="A17" t="inlineStr">
        <is>
          <t>CDE</t>
        </is>
      </c>
      <c r="B17" s="6" t="n">
        <v>2023</v>
      </c>
      <c r="C17" s="7" t="n">
        <v>821.206</v>
      </c>
      <c r="D17" s="7" t="n">
        <v>-42.066</v>
      </c>
      <c r="E17" s="7" t="n">
        <v>57.756</v>
      </c>
      <c r="F17" s="7" t="n">
        <v>-103.612</v>
      </c>
      <c r="G17" s="7" t="n">
        <v>26.39</v>
      </c>
      <c r="H17" s="7" t="n">
        <v>555.285</v>
      </c>
      <c r="I17" s="7" t="n">
        <v>1023.903</v>
      </c>
      <c r="J17" s="7" t="n">
        <v>2080.848</v>
      </c>
      <c r="K17" s="7" t="n">
        <v>267.255</v>
      </c>
      <c r="L17" s="7" t="n">
        <v>156.061</v>
      </c>
      <c r="M17" s="7" t="n">
        <v>289.613</v>
      </c>
      <c r="N17" s="7" t="n">
        <v>-297.329</v>
      </c>
    </row>
    <row r="18">
      <c r="A18" t="inlineStr">
        <is>
          <t>CDE</t>
        </is>
      </c>
      <c r="B18" s="6" t="n">
        <v>2022</v>
      </c>
      <c r="C18" s="7" t="n">
        <v>785.636</v>
      </c>
      <c r="D18" s="7" t="n">
        <v>-41.64</v>
      </c>
      <c r="E18" s="7" t="n">
        <v>69.986</v>
      </c>
      <c r="F18" s="7" t="n">
        <v>-78.107</v>
      </c>
      <c r="G18" s="7" t="n">
        <v>21.809</v>
      </c>
      <c r="H18" s="7" t="n">
        <v>527.4930000000001</v>
      </c>
      <c r="I18" s="7" t="n">
        <v>889.016</v>
      </c>
      <c r="J18" s="7" t="n">
        <v>1846.143</v>
      </c>
      <c r="K18" s="7" t="n">
        <v>300.432</v>
      </c>
      <c r="L18" s="7" t="n">
        <v>144.789</v>
      </c>
      <c r="M18" s="7" t="n">
        <v>219.36</v>
      </c>
      <c r="N18" s="7" t="n">
        <v>-326.738</v>
      </c>
    </row>
    <row r="19">
      <c r="A19" t="inlineStr">
        <is>
          <t>EXK</t>
        </is>
      </c>
      <c r="B19" s="6" t="n">
        <v>2025</v>
      </c>
      <c r="C19" s="7" t="n">
        <v>467.5</v>
      </c>
      <c r="D19" s="7" t="n">
        <v>-98.59999999999999</v>
      </c>
      <c r="E19" s="7" t="n">
        <v>-24.8</v>
      </c>
      <c r="F19" s="7" t="n">
        <v>-119.1</v>
      </c>
      <c r="G19" s="7" t="n">
        <v>6.3</v>
      </c>
      <c r="H19" s="7" t="n">
        <v>243.8</v>
      </c>
      <c r="I19" s="7" t="n">
        <v>579.1</v>
      </c>
      <c r="J19" s="7" t="n">
        <v>1235.7</v>
      </c>
      <c r="K19" s="7" t="n">
        <v>423.2</v>
      </c>
      <c r="L19" s="7" t="n">
        <v>62.3</v>
      </c>
      <c r="M19" s="7" t="n">
        <v>276.8</v>
      </c>
      <c r="N19" s="7" t="n">
        <v>-101.8</v>
      </c>
    </row>
    <row r="20">
      <c r="A20" t="inlineStr">
        <is>
          <t>EXK</t>
        </is>
      </c>
      <c r="B20" s="6" t="n">
        <v>2024</v>
      </c>
      <c r="C20" s="7" t="n">
        <v>217.6</v>
      </c>
      <c r="D20" s="7" t="n">
        <v>-21.2</v>
      </c>
      <c r="E20" s="7" t="n">
        <v>9.9</v>
      </c>
      <c r="F20" s="7" t="n">
        <v>-31.5</v>
      </c>
      <c r="G20" s="7" t="n">
        <v>0.8</v>
      </c>
      <c r="H20" s="7" t="n">
        <v>120.2</v>
      </c>
      <c r="I20" s="7" t="n">
        <v>484.4</v>
      </c>
      <c r="J20" s="7" t="n">
        <v>719.2</v>
      </c>
      <c r="K20" s="7" t="n">
        <v>157.6</v>
      </c>
      <c r="L20" s="7" t="n">
        <v>36</v>
      </c>
      <c r="M20" s="7" t="n">
        <v>78.90000000000001</v>
      </c>
      <c r="N20" s="7" t="n">
        <v>-176.3</v>
      </c>
    </row>
    <row r="21">
      <c r="A21" t="inlineStr">
        <is>
          <t>EXK</t>
        </is>
      </c>
      <c r="B21" s="6" t="n">
        <v>2023</v>
      </c>
      <c r="C21" s="7" t="n">
        <v>205.463</v>
      </c>
      <c r="D21" s="7" t="n">
        <v>19.075</v>
      </c>
      <c r="E21" s="7" t="n">
        <v>47.864</v>
      </c>
      <c r="F21" s="7" t="n">
        <v>6.123</v>
      </c>
      <c r="G21" s="7" t="n">
        <v>0.822</v>
      </c>
      <c r="H21" s="7" t="n">
        <v>8.519</v>
      </c>
      <c r="I21" s="7" t="n">
        <v>386.341</v>
      </c>
      <c r="J21" s="7" t="n">
        <v>474.807</v>
      </c>
      <c r="K21" s="7" t="n">
        <v>100.773</v>
      </c>
      <c r="L21" s="7" t="n">
        <v>27.258</v>
      </c>
      <c r="M21" s="7" t="n">
        <v>58.244</v>
      </c>
      <c r="N21" s="7" t="n">
        <v>-106.016</v>
      </c>
    </row>
    <row r="22">
      <c r="A22" t="inlineStr">
        <is>
          <t>EXK</t>
        </is>
      </c>
      <c r="B22" s="6" t="n">
        <v>2022</v>
      </c>
      <c r="C22" s="7" t="n">
        <v>210.16</v>
      </c>
      <c r="D22" s="7" t="n">
        <v>25.739</v>
      </c>
      <c r="E22" s="7" t="n">
        <v>51.827</v>
      </c>
      <c r="F22" s="7" t="n">
        <v>6.201</v>
      </c>
      <c r="G22" s="7" t="n">
        <v>0.79</v>
      </c>
      <c r="H22" s="7" t="n">
        <v>15.583</v>
      </c>
      <c r="I22" s="7" t="n">
        <v>315.894</v>
      </c>
      <c r="J22" s="7" t="n">
        <v>399.437</v>
      </c>
      <c r="K22" s="7" t="n">
        <v>146.333</v>
      </c>
      <c r="L22" s="7" t="n">
        <v>19.184</v>
      </c>
      <c r="M22" s="7" t="n">
        <v>52.749</v>
      </c>
      <c r="N22" s="7" t="n">
        <v>-54.722</v>
      </c>
    </row>
    <row r="23">
      <c r="A23" t="inlineStr">
        <is>
          <t>FNLPF</t>
        </is>
      </c>
      <c r="B23" s="6" t="n">
        <v>2025</v>
      </c>
      <c r="C23" s="7" t="n">
        <v>4561.231</v>
      </c>
      <c r="D23" s="7" t="n">
        <v>2145.048</v>
      </c>
      <c r="E23" s="7" t="n">
        <v>2636.684</v>
      </c>
      <c r="F23" s="7" t="n">
        <v>1383.988</v>
      </c>
      <c r="G23" s="7" t="n">
        <v>63.066</v>
      </c>
      <c r="H23" s="7" t="n">
        <v>850.973</v>
      </c>
      <c r="I23" s="7" t="n">
        <v>4632.894</v>
      </c>
      <c r="J23" s="7" t="n">
        <v>7279.268</v>
      </c>
      <c r="K23" s="7" t="n">
        <v>4053.452</v>
      </c>
      <c r="L23" s="7" t="n">
        <v>432.838</v>
      </c>
      <c r="M23" s="7" t="n">
        <v>932.712</v>
      </c>
      <c r="N23" s="7" t="n">
        <v>1889.566</v>
      </c>
    </row>
    <row r="24">
      <c r="A24" t="inlineStr">
        <is>
          <t>FNLPF</t>
        </is>
      </c>
      <c r="B24" s="6" t="n">
        <v>2024</v>
      </c>
      <c r="C24" s="7" t="n">
        <v>3496.385</v>
      </c>
      <c r="D24" s="7" t="n">
        <v>814.318</v>
      </c>
      <c r="E24" s="7" t="n">
        <v>1435.185</v>
      </c>
      <c r="F24" s="7" t="n">
        <v>140.92</v>
      </c>
      <c r="G24" s="7" t="n">
        <v>70.416</v>
      </c>
      <c r="H24" s="7" t="n">
        <v>853.455</v>
      </c>
      <c r="I24" s="7" t="n">
        <v>3855.341</v>
      </c>
      <c r="J24" s="7" t="n">
        <v>5880.458</v>
      </c>
      <c r="K24" s="7" t="n">
        <v>2442.529</v>
      </c>
      <c r="L24" s="7" t="n">
        <v>412.417</v>
      </c>
      <c r="M24" s="7" t="n">
        <v>368.585</v>
      </c>
      <c r="N24" s="7" t="n">
        <v>929.26</v>
      </c>
    </row>
    <row r="25">
      <c r="A25" t="inlineStr">
        <is>
          <t>FNLPF</t>
        </is>
      </c>
      <c r="B25" s="6" t="n">
        <v>2023</v>
      </c>
      <c r="C25" s="7" t="n">
        <v>2705.086</v>
      </c>
      <c r="D25" s="7" t="n">
        <v>198.557</v>
      </c>
      <c r="E25" s="7" t="n">
        <v>697.026</v>
      </c>
      <c r="F25" s="7" t="n">
        <v>233.909</v>
      </c>
      <c r="G25" s="7" t="n">
        <v>84.539</v>
      </c>
      <c r="H25" s="7" t="n">
        <v>948.952</v>
      </c>
      <c r="I25" s="7" t="n">
        <v>3771.852</v>
      </c>
      <c r="J25" s="7" t="n">
        <v>5737.606</v>
      </c>
      <c r="K25" s="7" t="n">
        <v>1539.018</v>
      </c>
      <c r="L25" s="7" t="n">
        <v>462.973</v>
      </c>
      <c r="M25" s="7" t="n">
        <v>372.024</v>
      </c>
      <c r="N25" s="7" t="n">
        <v>-57.487</v>
      </c>
    </row>
    <row r="26">
      <c r="A26" t="inlineStr">
        <is>
          <t>FNLPF</t>
        </is>
      </c>
      <c r="B26" s="6" t="n">
        <v>2022</v>
      </c>
      <c r="C26" s="7" t="n">
        <v>2432.99</v>
      </c>
      <c r="D26" s="7" t="n">
        <v>327.448</v>
      </c>
      <c r="E26" s="7" t="n">
        <v>829.217</v>
      </c>
      <c r="F26" s="7" t="n">
        <v>271.897</v>
      </c>
      <c r="G26" s="7" t="n">
        <v>78.877</v>
      </c>
      <c r="H26" s="7" t="n">
        <v>1278.648</v>
      </c>
      <c r="I26" s="7" t="n">
        <v>3685.731</v>
      </c>
      <c r="J26" s="7" t="n">
        <v>5914.28</v>
      </c>
      <c r="K26" s="7" t="n">
        <v>1940.181</v>
      </c>
      <c r="L26" s="7" t="n">
        <v>495.744</v>
      </c>
      <c r="M26" s="7" t="n">
        <v>687.9299999999999</v>
      </c>
      <c r="N26" s="7" t="n">
        <v>-89.944</v>
      </c>
    </row>
    <row r="27">
      <c r="A27" t="inlineStr">
        <is>
          <t>FSM</t>
        </is>
      </c>
      <c r="B27" s="6" t="n">
        <v>2025</v>
      </c>
      <c r="C27" s="7" t="n">
        <v>947.059</v>
      </c>
      <c r="D27" s="7" t="n">
        <v>426.056</v>
      </c>
      <c r="E27" s="7" t="n">
        <v>617.075</v>
      </c>
      <c r="F27" s="7" t="n">
        <v>287.469</v>
      </c>
      <c r="G27" s="7" t="n">
        <v>25.881</v>
      </c>
      <c r="H27" s="7" t="n">
        <v>211.296</v>
      </c>
      <c r="I27" s="7" t="n">
        <v>1677.034</v>
      </c>
      <c r="J27" s="7" t="n">
        <v>2360.641</v>
      </c>
      <c r="K27" s="7" t="n">
        <v>764.534</v>
      </c>
      <c r="L27" s="7" t="n">
        <v>122.685</v>
      </c>
      <c r="M27" s="7" t="n">
        <v>256.376</v>
      </c>
      <c r="N27" s="7" t="n">
        <v>277.362</v>
      </c>
    </row>
    <row r="28">
      <c r="A28" t="inlineStr">
        <is>
          <t>FSM</t>
        </is>
      </c>
      <c r="B28" s="6" t="n">
        <v>2024</v>
      </c>
      <c r="C28" s="7" t="n">
        <v>677.2430000000001</v>
      </c>
      <c r="D28" s="7" t="n">
        <v>168.498</v>
      </c>
      <c r="E28" s="7" t="n">
        <v>344.014</v>
      </c>
      <c r="F28" s="7" t="n">
        <v>128.735</v>
      </c>
      <c r="G28" s="7" t="n">
        <v>26.764</v>
      </c>
      <c r="H28" s="7" t="n">
        <v>194.008</v>
      </c>
      <c r="I28" s="7" t="n">
        <v>1403.865</v>
      </c>
      <c r="J28" s="7" t="n">
        <v>2115.532</v>
      </c>
      <c r="K28" s="7" t="n">
        <v>486.241</v>
      </c>
      <c r="L28" s="7" t="n">
        <v>134.496</v>
      </c>
      <c r="M28" s="7" t="n">
        <v>256.029</v>
      </c>
      <c r="N28" s="7" t="n">
        <v>74.616</v>
      </c>
    </row>
    <row r="29">
      <c r="A29" t="inlineStr">
        <is>
          <t>FSM</t>
        </is>
      </c>
      <c r="B29" s="6" t="n">
        <v>2023</v>
      </c>
      <c r="C29" s="7" t="n">
        <v>842.428</v>
      </c>
      <c r="D29" s="7" t="n">
        <v>14.089</v>
      </c>
      <c r="E29" s="7" t="n">
        <v>233.777</v>
      </c>
      <c r="F29" s="7" t="n">
        <v>-50.836</v>
      </c>
      <c r="G29" s="7" t="n">
        <v>25.14</v>
      </c>
      <c r="H29" s="7" t="n">
        <v>264.248</v>
      </c>
      <c r="I29" s="7" t="n">
        <v>1238.367</v>
      </c>
      <c r="J29" s="7" t="n">
        <v>1967.863</v>
      </c>
      <c r="K29" s="7" t="n">
        <v>333.325</v>
      </c>
      <c r="L29" s="7" t="n">
        <v>115.825</v>
      </c>
      <c r="M29" s="7" t="n">
        <v>243.77</v>
      </c>
      <c r="N29" s="7" t="n">
        <v>79.595</v>
      </c>
    </row>
    <row r="30">
      <c r="A30" t="inlineStr">
        <is>
          <t>FSM</t>
        </is>
      </c>
      <c r="B30" s="6" t="n">
        <v>2022</v>
      </c>
      <c r="C30" s="7" t="n">
        <v>681.491</v>
      </c>
      <c r="D30" s="7" t="n">
        <v>-113.758</v>
      </c>
      <c r="E30" s="7" t="n">
        <v>59.051</v>
      </c>
      <c r="F30" s="7" t="n">
        <v>-128.132</v>
      </c>
      <c r="G30" s="7" t="n">
        <v>11.351</v>
      </c>
      <c r="H30" s="7" t="n">
        <v>240.521</v>
      </c>
      <c r="I30" s="7" t="n">
        <v>1244.756</v>
      </c>
      <c r="J30" s="7" t="n">
        <v>1876.224</v>
      </c>
      <c r="K30" s="7" t="n">
        <v>252.712</v>
      </c>
      <c r="L30" s="7" t="n">
        <v>92.033</v>
      </c>
      <c r="M30" s="7" t="n">
        <v>135.08</v>
      </c>
      <c r="N30" s="7" t="n">
        <v>-56.987</v>
      </c>
    </row>
    <row r="31">
      <c r="A31" t="inlineStr">
        <is>
          <t>HL</t>
        </is>
      </c>
      <c r="B31" s="6" t="n">
        <v>2025</v>
      </c>
      <c r="C31" s="7" t="n">
        <v>1423.019</v>
      </c>
      <c r="D31" s="7" t="n">
        <v>520.76</v>
      </c>
      <c r="E31" s="7" t="n">
        <v>686.33</v>
      </c>
      <c r="F31" s="7" t="n">
        <v>321.712</v>
      </c>
      <c r="G31" s="7" t="n">
        <v>41.581</v>
      </c>
      <c r="H31" s="7" t="n">
        <v>275.8</v>
      </c>
      <c r="I31" s="7" t="n">
        <v>2591.646</v>
      </c>
      <c r="J31" s="7" t="n">
        <v>3560.645</v>
      </c>
      <c r="K31" s="7" t="n">
        <v>629.3440000000001</v>
      </c>
      <c r="L31" s="7" t="n">
        <v>114.785</v>
      </c>
      <c r="M31" s="7" t="n">
        <v>231.564</v>
      </c>
      <c r="N31" s="7" t="n">
        <v>310.249</v>
      </c>
    </row>
    <row r="32">
      <c r="A32" t="inlineStr">
        <is>
          <t>HL</t>
        </is>
      </c>
      <c r="B32" s="6" t="n">
        <v>2024</v>
      </c>
      <c r="C32" s="7" t="n">
        <v>929.925</v>
      </c>
      <c r="D32" s="7" t="n">
        <v>116.05</v>
      </c>
      <c r="E32" s="7" t="n">
        <v>306.521</v>
      </c>
      <c r="F32" s="7" t="n">
        <v>35.802</v>
      </c>
      <c r="G32" s="7" t="n">
        <v>49.834</v>
      </c>
      <c r="H32" s="7" t="n">
        <v>550.713</v>
      </c>
      <c r="I32" s="7" t="n">
        <v>2039.514</v>
      </c>
      <c r="J32" s="7" t="n">
        <v>2981.06</v>
      </c>
      <c r="K32" s="7" t="n">
        <v>214.152</v>
      </c>
      <c r="L32" s="7" t="n">
        <v>104.936</v>
      </c>
      <c r="M32" s="7" t="n">
        <v>197.838</v>
      </c>
      <c r="N32" s="7" t="n">
        <v>3.785</v>
      </c>
    </row>
    <row r="33">
      <c r="A33" t="inlineStr">
        <is>
          <t>HL</t>
        </is>
      </c>
      <c r="B33" s="6" t="n">
        <v>2023</v>
      </c>
      <c r="C33" s="7" t="n">
        <v>720.227</v>
      </c>
      <c r="D33" s="7" t="n">
        <v>-39.676</v>
      </c>
      <c r="E33" s="7" t="n">
        <v>123.996</v>
      </c>
      <c r="F33" s="7" t="n">
        <v>-84.217</v>
      </c>
      <c r="G33" s="7" t="n">
        <v>43.319</v>
      </c>
      <c r="H33" s="7" t="n">
        <v>662.8150000000001</v>
      </c>
      <c r="I33" s="7" t="n">
        <v>1968.104</v>
      </c>
      <c r="J33" s="7" t="n">
        <v>3011.104</v>
      </c>
      <c r="K33" s="7" t="n">
        <v>260.262</v>
      </c>
      <c r="L33" s="7" t="n">
        <v>93.64700000000001</v>
      </c>
      <c r="M33" s="7" t="n">
        <v>157.46</v>
      </c>
      <c r="N33" s="7" t="n">
        <v>-148.388</v>
      </c>
    </row>
    <row r="34">
      <c r="A34" t="inlineStr">
        <is>
          <t>HL</t>
        </is>
      </c>
      <c r="B34" s="6" t="n">
        <v>2022</v>
      </c>
      <c r="C34" s="7" t="n">
        <v>718.905</v>
      </c>
      <c r="D34" s="7" t="n">
        <v>-2.121</v>
      </c>
      <c r="E34" s="7" t="n">
        <v>143.026</v>
      </c>
      <c r="F34" s="7" t="n">
        <v>-37.348</v>
      </c>
      <c r="G34" s="7" t="n">
        <v>42.793</v>
      </c>
      <c r="H34" s="7" t="n">
        <v>527.225</v>
      </c>
      <c r="I34" s="7" t="n">
        <v>1978.967</v>
      </c>
      <c r="J34" s="7" t="n">
        <v>2927.172</v>
      </c>
      <c r="K34" s="7" t="n">
        <v>267.727</v>
      </c>
      <c r="L34" s="7" t="n">
        <v>90.672</v>
      </c>
      <c r="M34" s="7" t="n">
        <v>178.466</v>
      </c>
      <c r="N34" s="7" t="n">
        <v>-59.488</v>
      </c>
    </row>
    <row r="35">
      <c r="A35" t="inlineStr">
        <is>
          <t>PAAS</t>
        </is>
      </c>
      <c r="B35" s="6" t="n">
        <v>2025</v>
      </c>
      <c r="C35" s="7" t="n">
        <v>3619</v>
      </c>
      <c r="D35" s="7" t="n">
        <v>1293</v>
      </c>
      <c r="E35" s="7" t="n">
        <v>1790</v>
      </c>
      <c r="F35" s="7" t="n">
        <v>978</v>
      </c>
      <c r="G35" s="7" t="n">
        <v>55</v>
      </c>
      <c r="H35" s="7" t="n">
        <v>852</v>
      </c>
      <c r="I35" s="7" t="n">
        <v>6997</v>
      </c>
      <c r="J35" s="7" t="n">
        <v>9742</v>
      </c>
      <c r="K35" s="7" t="n">
        <v>2196</v>
      </c>
      <c r="L35" s="7" t="n">
        <v>588</v>
      </c>
      <c r="M35" s="7" t="n">
        <v>817</v>
      </c>
      <c r="N35" s="7" t="n">
        <v>1019</v>
      </c>
    </row>
    <row r="36">
      <c r="A36" t="inlineStr">
        <is>
          <t>PAAS</t>
        </is>
      </c>
      <c r="B36" s="6" t="n">
        <v>2024</v>
      </c>
      <c r="C36" s="7" t="n">
        <v>2819</v>
      </c>
      <c r="D36" s="7" t="n">
        <v>480</v>
      </c>
      <c r="E36" s="7" t="n">
        <v>1051</v>
      </c>
      <c r="F36" s="7" t="n">
        <v>112</v>
      </c>
      <c r="G36" s="7" t="n">
        <v>48</v>
      </c>
      <c r="H36" s="7" t="n">
        <v>804</v>
      </c>
      <c r="I36" s="7" t="n">
        <v>4704</v>
      </c>
      <c r="J36" s="7" t="n">
        <v>7203</v>
      </c>
      <c r="K36" s="7" t="n">
        <v>1720</v>
      </c>
      <c r="L36" s="7" t="n">
        <v>606</v>
      </c>
      <c r="M36" s="7" t="n">
        <v>687</v>
      </c>
      <c r="N36" s="7" t="n">
        <v>401</v>
      </c>
    </row>
    <row r="37">
      <c r="A37" t="inlineStr">
        <is>
          <t>PAAS</t>
        </is>
      </c>
      <c r="B37" s="6" t="n">
        <v>2023</v>
      </c>
      <c r="C37" s="7" t="n">
        <v>2316.1</v>
      </c>
      <c r="D37" s="7" t="n">
        <v>-7.4</v>
      </c>
      <c r="E37" s="7" t="n">
        <v>476.8</v>
      </c>
      <c r="F37" s="7" t="n">
        <v>-103.7</v>
      </c>
      <c r="G37" s="7" t="n">
        <v>51.4</v>
      </c>
      <c r="H37" s="7" t="n">
        <v>801.6</v>
      </c>
      <c r="I37" s="7" t="n">
        <v>4760.7</v>
      </c>
      <c r="J37" s="7" t="n">
        <v>7213.1</v>
      </c>
      <c r="K37" s="7" t="n">
        <v>1390</v>
      </c>
      <c r="L37" s="7" t="n">
        <v>711.6</v>
      </c>
      <c r="M37" s="7" t="n">
        <v>624.2</v>
      </c>
      <c r="N37" s="7" t="n">
        <v>71.2</v>
      </c>
    </row>
    <row r="38">
      <c r="A38" t="inlineStr">
        <is>
          <t>PAAS</t>
        </is>
      </c>
      <c r="B38" s="6" t="n">
        <v>2022</v>
      </c>
      <c r="C38" s="7" t="n">
        <v>1494.7</v>
      </c>
      <c r="D38" s="7" t="n">
        <v>-295.7</v>
      </c>
      <c r="E38" s="7" t="n">
        <v>20.3</v>
      </c>
      <c r="F38" s="7" t="n">
        <v>-341.7</v>
      </c>
      <c r="G38" s="7" t="n">
        <v>5.3</v>
      </c>
      <c r="H38" s="7" t="n">
        <v>226.8</v>
      </c>
      <c r="I38" s="7" t="n">
        <v>2195.5</v>
      </c>
      <c r="J38" s="7" t="n">
        <v>3248.5</v>
      </c>
      <c r="K38" s="7" t="n">
        <v>804.4</v>
      </c>
      <c r="L38" s="7" t="n">
        <v>471.6</v>
      </c>
      <c r="M38" s="7" t="n">
        <v>380.8</v>
      </c>
      <c r="N38" s="7" t="n">
        <v>-242.9</v>
      </c>
    </row>
    <row r="39">
      <c r="A39" t="inlineStr">
        <is>
          <t>SVM</t>
        </is>
      </c>
      <c r="B39" s="6" t="n">
        <v>2026</v>
      </c>
      <c r="C39" s="7" t="n">
        <v>438.135</v>
      </c>
      <c r="D39" s="7" t="n">
        <v>92.94499999999999</v>
      </c>
      <c r="E39" s="7" t="n">
        <v>129.833</v>
      </c>
      <c r="F39" s="7" t="n">
        <v>-9.944000000000001</v>
      </c>
      <c r="G39" s="7" t="n">
        <v>12.53</v>
      </c>
      <c r="H39" s="7" t="n">
        <v>118.393</v>
      </c>
      <c r="I39" s="7" t="n">
        <v>941.006</v>
      </c>
      <c r="J39" s="7" t="n">
        <v>1464.227</v>
      </c>
      <c r="K39" s="7" t="n">
        <v>443.441</v>
      </c>
      <c r="L39" s="7" t="n">
        <v>9.493</v>
      </c>
      <c r="M39" s="7" t="n">
        <v>123.98</v>
      </c>
      <c r="N39" s="7" t="n">
        <v>181.315</v>
      </c>
    </row>
    <row r="40">
      <c r="A40" t="inlineStr">
        <is>
          <t>SVM</t>
        </is>
      </c>
      <c r="B40" s="6" t="n">
        <v>2025</v>
      </c>
      <c r="C40" s="7" t="n">
        <v>298.895</v>
      </c>
      <c r="D40" s="7" t="n">
        <v>109.929</v>
      </c>
      <c r="E40" s="7" t="n">
        <v>142.757</v>
      </c>
      <c r="F40" s="7" t="n">
        <v>58.19</v>
      </c>
      <c r="G40" s="7" t="n">
        <v>4.972</v>
      </c>
      <c r="H40" s="7" t="n">
        <v>111.984</v>
      </c>
      <c r="I40" s="7" t="n">
        <v>702.728</v>
      </c>
      <c r="J40" s="7" t="n">
        <v>1138.941</v>
      </c>
      <c r="K40" s="7" t="n">
        <v>386.921</v>
      </c>
      <c r="L40" s="7" t="n">
        <v>8.028</v>
      </c>
      <c r="M40" s="7" t="n">
        <v>76.562</v>
      </c>
      <c r="N40" s="7" t="n">
        <v>52.604</v>
      </c>
    </row>
    <row r="41">
      <c r="A41" t="inlineStr">
        <is>
          <t>SVM</t>
        </is>
      </c>
      <c r="B41" s="6" t="n">
        <v>2024</v>
      </c>
      <c r="C41" s="7" t="n">
        <v>215.187</v>
      </c>
      <c r="D41" s="7" t="n">
        <v>70.16800000000001</v>
      </c>
      <c r="E41" s="7" t="n">
        <v>99.136</v>
      </c>
      <c r="F41" s="7" t="n">
        <v>36.306</v>
      </c>
      <c r="G41" s="7" t="n">
        <v>0.213</v>
      </c>
      <c r="H41" s="7" t="n">
        <v>1.315</v>
      </c>
      <c r="I41" s="7" t="n">
        <v>507.255</v>
      </c>
      <c r="J41" s="7" t="n">
        <v>702.8150000000001</v>
      </c>
      <c r="K41" s="7" t="n">
        <v>201.898</v>
      </c>
      <c r="L41" s="7" t="n">
        <v>7.395</v>
      </c>
      <c r="M41" s="7" t="n">
        <v>47.154</v>
      </c>
      <c r="N41" s="7" t="n">
        <v>28.102</v>
      </c>
    </row>
    <row r="42">
      <c r="A42" t="inlineStr">
        <is>
          <t>SVM</t>
        </is>
      </c>
      <c r="B42" s="6" t="n">
        <v>2023</v>
      </c>
      <c r="C42" s="7" t="n">
        <v>208.129</v>
      </c>
      <c r="D42" s="7" t="n">
        <v>35.425</v>
      </c>
      <c r="E42" s="7" t="n">
        <v>64.795</v>
      </c>
      <c r="F42" s="7" t="n">
        <v>20.608</v>
      </c>
      <c r="G42" s="7" t="n">
        <v>0.282</v>
      </c>
      <c r="H42" s="7" t="n">
        <v>0.583</v>
      </c>
      <c r="I42" s="7" t="n">
        <v>489.053</v>
      </c>
      <c r="J42" s="7" t="n">
        <v>676.799</v>
      </c>
      <c r="K42" s="7" t="n">
        <v>219.048</v>
      </c>
      <c r="L42" s="7" t="n">
        <v>8.343</v>
      </c>
      <c r="M42" s="7" t="n">
        <v>41.24</v>
      </c>
      <c r="N42" s="7" t="n">
        <v>30.686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Ticker</t>
        </is>
      </c>
      <c r="B1" s="2" t="inlineStr">
        <is>
          <t>Year</t>
        </is>
      </c>
      <c r="C1" s="2" t="inlineStr">
        <is>
          <t>EBIT Margin</t>
        </is>
      </c>
      <c r="D1" s="2" t="inlineStr">
        <is>
          <t>FCF Margin</t>
        </is>
      </c>
      <c r="E1" s="2" t="inlineStr">
        <is>
          <t>Quick Ratio</t>
        </is>
      </c>
      <c r="F1" s="2" t="inlineStr">
        <is>
          <t>Debt/Capital</t>
        </is>
      </c>
      <c r="G1" s="2" t="inlineStr">
        <is>
          <t>Debt/EBITDA</t>
        </is>
      </c>
      <c r="H1" s="2" t="inlineStr">
        <is>
          <t>Interest Coverage</t>
        </is>
      </c>
      <c r="I1" s="2" t="inlineStr">
        <is>
          <t>Net Margin</t>
        </is>
      </c>
      <c r="J1" s="2" t="inlineStr">
        <is>
          <t>Asset Turnover</t>
        </is>
      </c>
      <c r="K1" s="2" t="inlineStr">
        <is>
          <t>Equity Multiplier</t>
        </is>
      </c>
      <c r="L1" s="2" t="inlineStr">
        <is>
          <t>ROE (DuPont)</t>
        </is>
      </c>
    </row>
    <row r="2">
      <c r="A2">
        <f>'Raw Data'!A3</f>
        <v/>
      </c>
      <c r="B2" s="6">
        <f>'Raw Data'!B3</f>
        <v/>
      </c>
      <c r="C2" s="8">
        <f>IF(COUNT('Raw Data'!D3,'Raw Data'!C3)&lt;2,"n/a",'Raw Data'!D3/'Raw Data'!C3)</f>
        <v/>
      </c>
      <c r="D2" s="8">
        <f>IF(COUNT('Raw Data'!N3,'Raw Data'!C3)&lt;2,"n/a",'Raw Data'!N3/'Raw Data'!C3)</f>
        <v/>
      </c>
      <c r="E2" s="9">
        <f>IF(COUNT('Raw Data'!K3,'Raw Data'!L3,'Raw Data'!M3)&lt;3,"n/a",('Raw Data'!K3-'Raw Data'!L3)/'Raw Data'!M3)</f>
        <v/>
      </c>
      <c r="F2" s="8">
        <f>IF(COUNT('Raw Data'!H3,'Raw Data'!I3)&lt;2,"n/a",'Raw Data'!H3/('Raw Data'!H3+'Raw Data'!I3))</f>
        <v/>
      </c>
      <c r="G2" s="10">
        <f>IF(COUNT('Raw Data'!H3,'Raw Data'!E3)&lt;2,"n/a",IF('Raw Data'!E3&lt;=0,"n/m",'Raw Data'!H3/'Raw Data'!E3))</f>
        <v/>
      </c>
      <c r="H2" s="10">
        <f>IF(COUNT('Raw Data'!D3,'Raw Data'!G3)&lt;2,"n/a",IF('Raw Data'!G3=0,"n/m",'Raw Data'!D3/'Raw Data'!G3))</f>
        <v/>
      </c>
      <c r="I2" s="8">
        <f>IF(COUNT('Raw Data'!F3,'Raw Data'!C3)&lt;2,"n/a",'Raw Data'!F3/'Raw Data'!C3)</f>
        <v/>
      </c>
      <c r="J2" s="9">
        <f>IF(COUNT('Raw Data'!C3,'Raw Data'!J3)&lt;2,"n/a",'Raw Data'!C3/'Raw Data'!J3)</f>
        <v/>
      </c>
      <c r="K2" s="9">
        <f>IF(COUNT('Raw Data'!J3,'Raw Data'!I3)&lt;2,"n/a",'Raw Data'!J3/'Raw Data'!I3)</f>
        <v/>
      </c>
      <c r="L2" s="11">
        <f>IF(COUNT(I2,J2,K2)&lt;3,"n/a",I2*J2*K2)</f>
        <v/>
      </c>
    </row>
    <row r="3">
      <c r="A3">
        <f>'Raw Data'!A4</f>
        <v/>
      </c>
      <c r="B3" s="6">
        <f>'Raw Data'!B4</f>
        <v/>
      </c>
      <c r="C3" s="8">
        <f>IF(COUNT('Raw Data'!D4,'Raw Data'!C4)&lt;2,"n/a",'Raw Data'!D4/'Raw Data'!C4)</f>
        <v/>
      </c>
      <c r="D3" s="8">
        <f>IF(COUNT('Raw Data'!N4,'Raw Data'!C4)&lt;2,"n/a",'Raw Data'!N4/'Raw Data'!C4)</f>
        <v/>
      </c>
      <c r="E3" s="9">
        <f>IF(COUNT('Raw Data'!K4,'Raw Data'!L4,'Raw Data'!M4)&lt;3,"n/a",('Raw Data'!K4-'Raw Data'!L4)/'Raw Data'!M4)</f>
        <v/>
      </c>
      <c r="F3" s="8">
        <f>IF(COUNT('Raw Data'!H4,'Raw Data'!I4)&lt;2,"n/a",'Raw Data'!H4/('Raw Data'!H4+'Raw Data'!I4))</f>
        <v/>
      </c>
      <c r="G3" s="10">
        <f>IF(COUNT('Raw Data'!H4,'Raw Data'!E4)&lt;2,"n/a",IF('Raw Data'!E4&lt;=0,"n/m",'Raw Data'!H4/'Raw Data'!E4))</f>
        <v/>
      </c>
      <c r="H3" s="10">
        <f>IF(COUNT('Raw Data'!D4,'Raw Data'!G4)&lt;2,"n/a",IF('Raw Data'!G4=0,"n/m",'Raw Data'!D4/'Raw Data'!G4))</f>
        <v/>
      </c>
      <c r="I3" s="8">
        <f>IF(COUNT('Raw Data'!F4,'Raw Data'!C4)&lt;2,"n/a",'Raw Data'!F4/'Raw Data'!C4)</f>
        <v/>
      </c>
      <c r="J3" s="9">
        <f>IF(COUNT('Raw Data'!C4,'Raw Data'!J4)&lt;2,"n/a",'Raw Data'!C4/'Raw Data'!J4)</f>
        <v/>
      </c>
      <c r="K3" s="9">
        <f>IF(COUNT('Raw Data'!J4,'Raw Data'!I4)&lt;2,"n/a",'Raw Data'!J4/'Raw Data'!I4)</f>
        <v/>
      </c>
      <c r="L3" s="11">
        <f>IF(COUNT(I3,J3,K3)&lt;3,"n/a",I3*J3*K3)</f>
        <v/>
      </c>
    </row>
    <row r="4">
      <c r="A4">
        <f>'Raw Data'!A5</f>
        <v/>
      </c>
      <c r="B4" s="6">
        <f>'Raw Data'!B5</f>
        <v/>
      </c>
      <c r="C4" s="8">
        <f>IF(COUNT('Raw Data'!D5,'Raw Data'!C5)&lt;2,"n/a",'Raw Data'!D5/'Raw Data'!C5)</f>
        <v/>
      </c>
      <c r="D4" s="8">
        <f>IF(COUNT('Raw Data'!N5,'Raw Data'!C5)&lt;2,"n/a",'Raw Data'!N5/'Raw Data'!C5)</f>
        <v/>
      </c>
      <c r="E4" s="9">
        <f>IF(COUNT('Raw Data'!K5,'Raw Data'!L5,'Raw Data'!M5)&lt;3,"n/a",('Raw Data'!K5-'Raw Data'!L5)/'Raw Data'!M5)</f>
        <v/>
      </c>
      <c r="F4" s="8">
        <f>IF(COUNT('Raw Data'!H5,'Raw Data'!I5)&lt;2,"n/a",'Raw Data'!H5/('Raw Data'!H5+'Raw Data'!I5))</f>
        <v/>
      </c>
      <c r="G4" s="10">
        <f>IF(COUNT('Raw Data'!H5,'Raw Data'!E5)&lt;2,"n/a",IF('Raw Data'!E5&lt;=0,"n/m",'Raw Data'!H5/'Raw Data'!E5))</f>
        <v/>
      </c>
      <c r="H4" s="10">
        <f>IF(COUNT('Raw Data'!D5,'Raw Data'!G5)&lt;2,"n/a",IF('Raw Data'!G5=0,"n/m",'Raw Data'!D5/'Raw Data'!G5))</f>
        <v/>
      </c>
      <c r="I4" s="8">
        <f>IF(COUNT('Raw Data'!F5,'Raw Data'!C5)&lt;2,"n/a",'Raw Data'!F5/'Raw Data'!C5)</f>
        <v/>
      </c>
      <c r="J4" s="9">
        <f>IF(COUNT('Raw Data'!C5,'Raw Data'!J5)&lt;2,"n/a",'Raw Data'!C5/'Raw Data'!J5)</f>
        <v/>
      </c>
      <c r="K4" s="9">
        <f>IF(COUNT('Raw Data'!J5,'Raw Data'!I5)&lt;2,"n/a",'Raw Data'!J5/'Raw Data'!I5)</f>
        <v/>
      </c>
      <c r="L4" s="11">
        <f>IF(COUNT(I4,J4,K4)&lt;3,"n/a",I4*J4*K4)</f>
        <v/>
      </c>
    </row>
    <row r="5">
      <c r="A5">
        <f>'Raw Data'!A6</f>
        <v/>
      </c>
      <c r="B5" s="6">
        <f>'Raw Data'!B6</f>
        <v/>
      </c>
      <c r="C5" s="8">
        <f>IF(COUNT('Raw Data'!D6,'Raw Data'!C6)&lt;2,"n/a",'Raw Data'!D6/'Raw Data'!C6)</f>
        <v/>
      </c>
      <c r="D5" s="8">
        <f>IF(COUNT('Raw Data'!N6,'Raw Data'!C6)&lt;2,"n/a",'Raw Data'!N6/'Raw Data'!C6)</f>
        <v/>
      </c>
      <c r="E5" s="9">
        <f>IF(COUNT('Raw Data'!K6,'Raw Data'!L6,'Raw Data'!M6)&lt;3,"n/a",('Raw Data'!K6-'Raw Data'!L6)/'Raw Data'!M6)</f>
        <v/>
      </c>
      <c r="F5" s="8">
        <f>IF(COUNT('Raw Data'!H6,'Raw Data'!I6)&lt;2,"n/a",'Raw Data'!H6/('Raw Data'!H6+'Raw Data'!I6))</f>
        <v/>
      </c>
      <c r="G5" s="10">
        <f>IF(COUNT('Raw Data'!H6,'Raw Data'!E6)&lt;2,"n/a",IF('Raw Data'!E6&lt;=0,"n/m",'Raw Data'!H6/'Raw Data'!E6))</f>
        <v/>
      </c>
      <c r="H5" s="10">
        <f>IF(COUNT('Raw Data'!D6,'Raw Data'!G6)&lt;2,"n/a",IF('Raw Data'!G6=0,"n/m",'Raw Data'!D6/'Raw Data'!G6))</f>
        <v/>
      </c>
      <c r="I5" s="8">
        <f>IF(COUNT('Raw Data'!F6,'Raw Data'!C6)&lt;2,"n/a",'Raw Data'!F6/'Raw Data'!C6)</f>
        <v/>
      </c>
      <c r="J5" s="9">
        <f>IF(COUNT('Raw Data'!C6,'Raw Data'!J6)&lt;2,"n/a",'Raw Data'!C6/'Raw Data'!J6)</f>
        <v/>
      </c>
      <c r="K5" s="9">
        <f>IF(COUNT('Raw Data'!J6,'Raw Data'!I6)&lt;2,"n/a",'Raw Data'!J6/'Raw Data'!I6)</f>
        <v/>
      </c>
      <c r="L5" s="11">
        <f>IF(COUNT(I5,J5,K5)&lt;3,"n/a",I5*J5*K5)</f>
        <v/>
      </c>
    </row>
    <row r="6">
      <c r="A6">
        <f>'Raw Data'!A7</f>
        <v/>
      </c>
      <c r="B6" s="6">
        <f>'Raw Data'!B7</f>
        <v/>
      </c>
      <c r="C6" s="8">
        <f>IF(COUNT('Raw Data'!D7,'Raw Data'!C7)&lt;2,"n/a",'Raw Data'!D7/'Raw Data'!C7)</f>
        <v/>
      </c>
      <c r="D6" s="8">
        <f>IF(COUNT('Raw Data'!N7,'Raw Data'!C7)&lt;2,"n/a",'Raw Data'!N7/'Raw Data'!C7)</f>
        <v/>
      </c>
      <c r="E6" s="9">
        <f>IF(COUNT('Raw Data'!K7,'Raw Data'!L7,'Raw Data'!M7)&lt;3,"n/a",('Raw Data'!K7-'Raw Data'!L7)/'Raw Data'!M7)</f>
        <v/>
      </c>
      <c r="F6" s="8">
        <f>IF(COUNT('Raw Data'!H7,'Raw Data'!I7)&lt;2,"n/a",'Raw Data'!H7/('Raw Data'!H7+'Raw Data'!I7))</f>
        <v/>
      </c>
      <c r="G6" s="10">
        <f>IF(COUNT('Raw Data'!H7,'Raw Data'!E7)&lt;2,"n/a",IF('Raw Data'!E7&lt;=0,"n/m",'Raw Data'!H7/'Raw Data'!E7))</f>
        <v/>
      </c>
      <c r="H6" s="10">
        <f>IF(COUNT('Raw Data'!D7,'Raw Data'!G7)&lt;2,"n/a",IF('Raw Data'!G7=0,"n/m",'Raw Data'!D7/'Raw Data'!G7))</f>
        <v/>
      </c>
      <c r="I6" s="8">
        <f>IF(COUNT('Raw Data'!F7,'Raw Data'!C7)&lt;2,"n/a",'Raw Data'!F7/'Raw Data'!C7)</f>
        <v/>
      </c>
      <c r="J6" s="9">
        <f>IF(COUNT('Raw Data'!C7,'Raw Data'!J7)&lt;2,"n/a",'Raw Data'!C7/'Raw Data'!J7)</f>
        <v/>
      </c>
      <c r="K6" s="9">
        <f>IF(COUNT('Raw Data'!J7,'Raw Data'!I7)&lt;2,"n/a",'Raw Data'!J7/'Raw Data'!I7)</f>
        <v/>
      </c>
      <c r="L6" s="11">
        <f>IF(COUNT(I6,J6,K6)&lt;3,"n/a",I6*J6*K6)</f>
        <v/>
      </c>
    </row>
    <row r="7">
      <c r="A7">
        <f>'Raw Data'!A8</f>
        <v/>
      </c>
      <c r="B7" s="6">
        <f>'Raw Data'!B8</f>
        <v/>
      </c>
      <c r="C7" s="8">
        <f>IF(COUNT('Raw Data'!D8,'Raw Data'!C8)&lt;2,"n/a",'Raw Data'!D8/'Raw Data'!C8)</f>
        <v/>
      </c>
      <c r="D7" s="8">
        <f>IF(COUNT('Raw Data'!N8,'Raw Data'!C8)&lt;2,"n/a",'Raw Data'!N8/'Raw Data'!C8)</f>
        <v/>
      </c>
      <c r="E7" s="9">
        <f>IF(COUNT('Raw Data'!K8,'Raw Data'!L8,'Raw Data'!M8)&lt;3,"n/a",('Raw Data'!K8-'Raw Data'!L8)/'Raw Data'!M8)</f>
        <v/>
      </c>
      <c r="F7" s="8">
        <f>IF(COUNT('Raw Data'!H8,'Raw Data'!I8)&lt;2,"n/a",'Raw Data'!H8/('Raw Data'!H8+'Raw Data'!I8))</f>
        <v/>
      </c>
      <c r="G7" s="10">
        <f>IF(COUNT('Raw Data'!H8,'Raw Data'!E8)&lt;2,"n/a",IF('Raw Data'!E8&lt;=0,"n/m",'Raw Data'!H8/'Raw Data'!E8))</f>
        <v/>
      </c>
      <c r="H7" s="10">
        <f>IF(COUNT('Raw Data'!D8,'Raw Data'!G8)&lt;2,"n/a",IF('Raw Data'!G8=0,"n/m",'Raw Data'!D8/'Raw Data'!G8))</f>
        <v/>
      </c>
      <c r="I7" s="8">
        <f>IF(COUNT('Raw Data'!F8,'Raw Data'!C8)&lt;2,"n/a",'Raw Data'!F8/'Raw Data'!C8)</f>
        <v/>
      </c>
      <c r="J7" s="9">
        <f>IF(COUNT('Raw Data'!C8,'Raw Data'!J8)&lt;2,"n/a",'Raw Data'!C8/'Raw Data'!J8)</f>
        <v/>
      </c>
      <c r="K7" s="9">
        <f>IF(COUNT('Raw Data'!J8,'Raw Data'!I8)&lt;2,"n/a",'Raw Data'!J8/'Raw Data'!I8)</f>
        <v/>
      </c>
      <c r="L7" s="11">
        <f>IF(COUNT(I7,J7,K7)&lt;3,"n/a",I7*J7*K7)</f>
        <v/>
      </c>
    </row>
    <row r="8">
      <c r="A8">
        <f>'Raw Data'!A9</f>
        <v/>
      </c>
      <c r="B8" s="6">
        <f>'Raw Data'!B9</f>
        <v/>
      </c>
      <c r="C8" s="8">
        <f>IF(COUNT('Raw Data'!D9,'Raw Data'!C9)&lt;2,"n/a",'Raw Data'!D9/'Raw Data'!C9)</f>
        <v/>
      </c>
      <c r="D8" s="8">
        <f>IF(COUNT('Raw Data'!N9,'Raw Data'!C9)&lt;2,"n/a",'Raw Data'!N9/'Raw Data'!C9)</f>
        <v/>
      </c>
      <c r="E8" s="9">
        <f>IF(COUNT('Raw Data'!K9,'Raw Data'!L9,'Raw Data'!M9)&lt;3,"n/a",('Raw Data'!K9-'Raw Data'!L9)/'Raw Data'!M9)</f>
        <v/>
      </c>
      <c r="F8" s="8">
        <f>IF(COUNT('Raw Data'!H9,'Raw Data'!I9)&lt;2,"n/a",'Raw Data'!H9/('Raw Data'!H9+'Raw Data'!I9))</f>
        <v/>
      </c>
      <c r="G8" s="10">
        <f>IF(COUNT('Raw Data'!H9,'Raw Data'!E9)&lt;2,"n/a",IF('Raw Data'!E9&lt;=0,"n/m",'Raw Data'!H9/'Raw Data'!E9))</f>
        <v/>
      </c>
      <c r="H8" s="10">
        <f>IF(COUNT('Raw Data'!D9,'Raw Data'!G9)&lt;2,"n/a",IF('Raw Data'!G9=0,"n/m",'Raw Data'!D9/'Raw Data'!G9))</f>
        <v/>
      </c>
      <c r="I8" s="8">
        <f>IF(COUNT('Raw Data'!F9,'Raw Data'!C9)&lt;2,"n/a",'Raw Data'!F9/'Raw Data'!C9)</f>
        <v/>
      </c>
      <c r="J8" s="9">
        <f>IF(COUNT('Raw Data'!C9,'Raw Data'!J9)&lt;2,"n/a",'Raw Data'!C9/'Raw Data'!J9)</f>
        <v/>
      </c>
      <c r="K8" s="9">
        <f>IF(COUNT('Raw Data'!J9,'Raw Data'!I9)&lt;2,"n/a",'Raw Data'!J9/'Raw Data'!I9)</f>
        <v/>
      </c>
      <c r="L8" s="11">
        <f>IF(COUNT(I8,J8,K8)&lt;3,"n/a",I8*J8*K8)</f>
        <v/>
      </c>
    </row>
    <row r="9">
      <c r="A9">
        <f>'Raw Data'!A10</f>
        <v/>
      </c>
      <c r="B9" s="6">
        <f>'Raw Data'!B10</f>
        <v/>
      </c>
      <c r="C9" s="8">
        <f>IF(COUNT('Raw Data'!D10,'Raw Data'!C10)&lt;2,"n/a",'Raw Data'!D10/'Raw Data'!C10)</f>
        <v/>
      </c>
      <c r="D9" s="8">
        <f>IF(COUNT('Raw Data'!N10,'Raw Data'!C10)&lt;2,"n/a",'Raw Data'!N10/'Raw Data'!C10)</f>
        <v/>
      </c>
      <c r="E9" s="9">
        <f>IF(COUNT('Raw Data'!K10,'Raw Data'!L10,'Raw Data'!M10)&lt;3,"n/a",('Raw Data'!K10-'Raw Data'!L10)/'Raw Data'!M10)</f>
        <v/>
      </c>
      <c r="F9" s="8">
        <f>IF(COUNT('Raw Data'!H10,'Raw Data'!I10)&lt;2,"n/a",'Raw Data'!H10/('Raw Data'!H10+'Raw Data'!I10))</f>
        <v/>
      </c>
      <c r="G9" s="10">
        <f>IF(COUNT('Raw Data'!H10,'Raw Data'!E10)&lt;2,"n/a",IF('Raw Data'!E10&lt;=0,"n/m",'Raw Data'!H10/'Raw Data'!E10))</f>
        <v/>
      </c>
      <c r="H9" s="10">
        <f>IF(COUNT('Raw Data'!D10,'Raw Data'!G10)&lt;2,"n/a",IF('Raw Data'!G10=0,"n/m",'Raw Data'!D10/'Raw Data'!G10))</f>
        <v/>
      </c>
      <c r="I9" s="8">
        <f>IF(COUNT('Raw Data'!F10,'Raw Data'!C10)&lt;2,"n/a",'Raw Data'!F10/'Raw Data'!C10)</f>
        <v/>
      </c>
      <c r="J9" s="9">
        <f>IF(COUNT('Raw Data'!C10,'Raw Data'!J10)&lt;2,"n/a",'Raw Data'!C10/'Raw Data'!J10)</f>
        <v/>
      </c>
      <c r="K9" s="9">
        <f>IF(COUNT('Raw Data'!J10,'Raw Data'!I10)&lt;2,"n/a",'Raw Data'!J10/'Raw Data'!I10)</f>
        <v/>
      </c>
      <c r="L9" s="11">
        <f>IF(COUNT(I9,J9,K9)&lt;3,"n/a",I9*J9*K9)</f>
        <v/>
      </c>
    </row>
    <row r="10">
      <c r="A10">
        <f>'Raw Data'!A11</f>
        <v/>
      </c>
      <c r="B10" s="6">
        <f>'Raw Data'!B11</f>
        <v/>
      </c>
      <c r="C10" s="8">
        <f>IF(COUNT('Raw Data'!D11,'Raw Data'!C11)&lt;2,"n/a",'Raw Data'!D11/'Raw Data'!C11)</f>
        <v/>
      </c>
      <c r="D10" s="8">
        <f>IF(COUNT('Raw Data'!N11,'Raw Data'!C11)&lt;2,"n/a",'Raw Data'!N11/'Raw Data'!C11)</f>
        <v/>
      </c>
      <c r="E10" s="9">
        <f>IF(COUNT('Raw Data'!K11,'Raw Data'!L11,'Raw Data'!M11)&lt;3,"n/a",('Raw Data'!K11-'Raw Data'!L11)/'Raw Data'!M11)</f>
        <v/>
      </c>
      <c r="F10" s="8">
        <f>IF(COUNT('Raw Data'!H11,'Raw Data'!I11)&lt;2,"n/a",'Raw Data'!H11/('Raw Data'!H11+'Raw Data'!I11))</f>
        <v/>
      </c>
      <c r="G10" s="10">
        <f>IF(COUNT('Raw Data'!H11,'Raw Data'!E11)&lt;2,"n/a",IF('Raw Data'!E11&lt;=0,"n/m",'Raw Data'!H11/'Raw Data'!E11))</f>
        <v/>
      </c>
      <c r="H10" s="10">
        <f>IF(COUNT('Raw Data'!D11,'Raw Data'!G11)&lt;2,"n/a",IF('Raw Data'!G11=0,"n/m",'Raw Data'!D11/'Raw Data'!G11))</f>
        <v/>
      </c>
      <c r="I10" s="8">
        <f>IF(COUNT('Raw Data'!F11,'Raw Data'!C11)&lt;2,"n/a",'Raw Data'!F11/'Raw Data'!C11)</f>
        <v/>
      </c>
      <c r="J10" s="9">
        <f>IF(COUNT('Raw Data'!C11,'Raw Data'!J11)&lt;2,"n/a",'Raw Data'!C11/'Raw Data'!J11)</f>
        <v/>
      </c>
      <c r="K10" s="9">
        <f>IF(COUNT('Raw Data'!J11,'Raw Data'!I11)&lt;2,"n/a",'Raw Data'!J11/'Raw Data'!I11)</f>
        <v/>
      </c>
      <c r="L10" s="11">
        <f>IF(COUNT(I10,J10,K10)&lt;3,"n/a",I10*J10*K10)</f>
        <v/>
      </c>
    </row>
    <row r="11">
      <c r="A11">
        <f>'Raw Data'!A12</f>
        <v/>
      </c>
      <c r="B11" s="6">
        <f>'Raw Data'!B12</f>
        <v/>
      </c>
      <c r="C11" s="8">
        <f>IF(COUNT('Raw Data'!D12,'Raw Data'!C12)&lt;2,"n/a",'Raw Data'!D12/'Raw Data'!C12)</f>
        <v/>
      </c>
      <c r="D11" s="8">
        <f>IF(COUNT('Raw Data'!N12,'Raw Data'!C12)&lt;2,"n/a",'Raw Data'!N12/'Raw Data'!C12)</f>
        <v/>
      </c>
      <c r="E11" s="9">
        <f>IF(COUNT('Raw Data'!K12,'Raw Data'!L12,'Raw Data'!M12)&lt;3,"n/a",('Raw Data'!K12-'Raw Data'!L12)/'Raw Data'!M12)</f>
        <v/>
      </c>
      <c r="F11" s="8">
        <f>IF(COUNT('Raw Data'!H12,'Raw Data'!I12)&lt;2,"n/a",'Raw Data'!H12/('Raw Data'!H12+'Raw Data'!I12))</f>
        <v/>
      </c>
      <c r="G11" s="10">
        <f>IF(COUNT('Raw Data'!H12,'Raw Data'!E12)&lt;2,"n/a",IF('Raw Data'!E12&lt;=0,"n/m",'Raw Data'!H12/'Raw Data'!E12))</f>
        <v/>
      </c>
      <c r="H11" s="10">
        <f>IF(COUNT('Raw Data'!D12,'Raw Data'!G12)&lt;2,"n/a",IF('Raw Data'!G12=0,"n/m",'Raw Data'!D12/'Raw Data'!G12))</f>
        <v/>
      </c>
      <c r="I11" s="8">
        <f>IF(COUNT('Raw Data'!F12,'Raw Data'!C12)&lt;2,"n/a",'Raw Data'!F12/'Raw Data'!C12)</f>
        <v/>
      </c>
      <c r="J11" s="9">
        <f>IF(COUNT('Raw Data'!C12,'Raw Data'!J12)&lt;2,"n/a",'Raw Data'!C12/'Raw Data'!J12)</f>
        <v/>
      </c>
      <c r="K11" s="9">
        <f>IF(COUNT('Raw Data'!J12,'Raw Data'!I12)&lt;2,"n/a",'Raw Data'!J12/'Raw Data'!I12)</f>
        <v/>
      </c>
      <c r="L11" s="11">
        <f>IF(COUNT(I11,J11,K11)&lt;3,"n/a",I11*J11*K11)</f>
        <v/>
      </c>
    </row>
    <row r="12">
      <c r="A12">
        <f>'Raw Data'!A13</f>
        <v/>
      </c>
      <c r="B12" s="6">
        <f>'Raw Data'!B13</f>
        <v/>
      </c>
      <c r="C12" s="8">
        <f>IF(COUNT('Raw Data'!D13,'Raw Data'!C13)&lt;2,"n/a",'Raw Data'!D13/'Raw Data'!C13)</f>
        <v/>
      </c>
      <c r="D12" s="8">
        <f>IF(COUNT('Raw Data'!N13,'Raw Data'!C13)&lt;2,"n/a",'Raw Data'!N13/'Raw Data'!C13)</f>
        <v/>
      </c>
      <c r="E12" s="9">
        <f>IF(COUNT('Raw Data'!K13,'Raw Data'!L13,'Raw Data'!M13)&lt;3,"n/a",('Raw Data'!K13-'Raw Data'!L13)/'Raw Data'!M13)</f>
        <v/>
      </c>
      <c r="F12" s="8">
        <f>IF(COUNT('Raw Data'!H13,'Raw Data'!I13)&lt;2,"n/a",'Raw Data'!H13/('Raw Data'!H13+'Raw Data'!I13))</f>
        <v/>
      </c>
      <c r="G12" s="10">
        <f>IF(COUNT('Raw Data'!H13,'Raw Data'!E13)&lt;2,"n/a",IF('Raw Data'!E13&lt;=0,"n/m",'Raw Data'!H13/'Raw Data'!E13))</f>
        <v/>
      </c>
      <c r="H12" s="10">
        <f>IF(COUNT('Raw Data'!D13,'Raw Data'!G13)&lt;2,"n/a",IF('Raw Data'!G13=0,"n/m",'Raw Data'!D13/'Raw Data'!G13))</f>
        <v/>
      </c>
      <c r="I12" s="8">
        <f>IF(COUNT('Raw Data'!F13,'Raw Data'!C13)&lt;2,"n/a",'Raw Data'!F13/'Raw Data'!C13)</f>
        <v/>
      </c>
      <c r="J12" s="9">
        <f>IF(COUNT('Raw Data'!C13,'Raw Data'!J13)&lt;2,"n/a",'Raw Data'!C13/'Raw Data'!J13)</f>
        <v/>
      </c>
      <c r="K12" s="9">
        <f>IF(COUNT('Raw Data'!J13,'Raw Data'!I13)&lt;2,"n/a",'Raw Data'!J13/'Raw Data'!I13)</f>
        <v/>
      </c>
      <c r="L12" s="11">
        <f>IF(COUNT(I12,J12,K12)&lt;3,"n/a",I12*J12*K12)</f>
        <v/>
      </c>
    </row>
    <row r="13">
      <c r="A13">
        <f>'Raw Data'!A14</f>
        <v/>
      </c>
      <c r="B13" s="6">
        <f>'Raw Data'!B14</f>
        <v/>
      </c>
      <c r="C13" s="8">
        <f>IF(COUNT('Raw Data'!D14,'Raw Data'!C14)&lt;2,"n/a",'Raw Data'!D14/'Raw Data'!C14)</f>
        <v/>
      </c>
      <c r="D13" s="8">
        <f>IF(COUNT('Raw Data'!N14,'Raw Data'!C14)&lt;2,"n/a",'Raw Data'!N14/'Raw Data'!C14)</f>
        <v/>
      </c>
      <c r="E13" s="9">
        <f>IF(COUNT('Raw Data'!K14,'Raw Data'!L14,'Raw Data'!M14)&lt;3,"n/a",('Raw Data'!K14-'Raw Data'!L14)/'Raw Data'!M14)</f>
        <v/>
      </c>
      <c r="F13" s="8">
        <f>IF(COUNT('Raw Data'!H14,'Raw Data'!I14)&lt;2,"n/a",'Raw Data'!H14/('Raw Data'!H14+'Raw Data'!I14))</f>
        <v/>
      </c>
      <c r="G13" s="10">
        <f>IF(COUNT('Raw Data'!H14,'Raw Data'!E14)&lt;2,"n/a",IF('Raw Data'!E14&lt;=0,"n/m",'Raw Data'!H14/'Raw Data'!E14))</f>
        <v/>
      </c>
      <c r="H13" s="10">
        <f>IF(COUNT('Raw Data'!D14,'Raw Data'!G14)&lt;2,"n/a",IF('Raw Data'!G14=0,"n/m",'Raw Data'!D14/'Raw Data'!G14))</f>
        <v/>
      </c>
      <c r="I13" s="8">
        <f>IF(COUNT('Raw Data'!F14,'Raw Data'!C14)&lt;2,"n/a",'Raw Data'!F14/'Raw Data'!C14)</f>
        <v/>
      </c>
      <c r="J13" s="9">
        <f>IF(COUNT('Raw Data'!C14,'Raw Data'!J14)&lt;2,"n/a",'Raw Data'!C14/'Raw Data'!J14)</f>
        <v/>
      </c>
      <c r="K13" s="9">
        <f>IF(COUNT('Raw Data'!J14,'Raw Data'!I14)&lt;2,"n/a",'Raw Data'!J14/'Raw Data'!I14)</f>
        <v/>
      </c>
      <c r="L13" s="11">
        <f>IF(COUNT(I13,J13,K13)&lt;3,"n/a",I13*J13*K13)</f>
        <v/>
      </c>
    </row>
    <row r="14">
      <c r="A14">
        <f>'Raw Data'!A15</f>
        <v/>
      </c>
      <c r="B14" s="6">
        <f>'Raw Data'!B15</f>
        <v/>
      </c>
      <c r="C14" s="8">
        <f>IF(COUNT('Raw Data'!D15,'Raw Data'!C15)&lt;2,"n/a",'Raw Data'!D15/'Raw Data'!C15)</f>
        <v/>
      </c>
      <c r="D14" s="8">
        <f>IF(COUNT('Raw Data'!N15,'Raw Data'!C15)&lt;2,"n/a",'Raw Data'!N15/'Raw Data'!C15)</f>
        <v/>
      </c>
      <c r="E14" s="9">
        <f>IF(COUNT('Raw Data'!K15,'Raw Data'!L15,'Raw Data'!M15)&lt;3,"n/a",('Raw Data'!K15-'Raw Data'!L15)/'Raw Data'!M15)</f>
        <v/>
      </c>
      <c r="F14" s="8">
        <f>IF(COUNT('Raw Data'!H15,'Raw Data'!I15)&lt;2,"n/a",'Raw Data'!H15/('Raw Data'!H15+'Raw Data'!I15))</f>
        <v/>
      </c>
      <c r="G14" s="10">
        <f>IF(COUNT('Raw Data'!H15,'Raw Data'!E15)&lt;2,"n/a",IF('Raw Data'!E15&lt;=0,"n/m",'Raw Data'!H15/'Raw Data'!E15))</f>
        <v/>
      </c>
      <c r="H14" s="10">
        <f>IF(COUNT('Raw Data'!D15,'Raw Data'!G15)&lt;2,"n/a",IF('Raw Data'!G15=0,"n/m",'Raw Data'!D15/'Raw Data'!G15))</f>
        <v/>
      </c>
      <c r="I14" s="8">
        <f>IF(COUNT('Raw Data'!F15,'Raw Data'!C15)&lt;2,"n/a",'Raw Data'!F15/'Raw Data'!C15)</f>
        <v/>
      </c>
      <c r="J14" s="9">
        <f>IF(COUNT('Raw Data'!C15,'Raw Data'!J15)&lt;2,"n/a",'Raw Data'!C15/'Raw Data'!J15)</f>
        <v/>
      </c>
      <c r="K14" s="9">
        <f>IF(COUNT('Raw Data'!J15,'Raw Data'!I15)&lt;2,"n/a",'Raw Data'!J15/'Raw Data'!I15)</f>
        <v/>
      </c>
      <c r="L14" s="11">
        <f>IF(COUNT(I14,J14,K14)&lt;3,"n/a",I14*J14*K14)</f>
        <v/>
      </c>
    </row>
    <row r="15">
      <c r="A15">
        <f>'Raw Data'!A16</f>
        <v/>
      </c>
      <c r="B15" s="6">
        <f>'Raw Data'!B16</f>
        <v/>
      </c>
      <c r="C15" s="8">
        <f>IF(COUNT('Raw Data'!D16,'Raw Data'!C16)&lt;2,"n/a",'Raw Data'!D16/'Raw Data'!C16)</f>
        <v/>
      </c>
      <c r="D15" s="8">
        <f>IF(COUNT('Raw Data'!N16,'Raw Data'!C16)&lt;2,"n/a",'Raw Data'!N16/'Raw Data'!C16)</f>
        <v/>
      </c>
      <c r="E15" s="9">
        <f>IF(COUNT('Raw Data'!K16,'Raw Data'!L16,'Raw Data'!M16)&lt;3,"n/a",('Raw Data'!K16-'Raw Data'!L16)/'Raw Data'!M16)</f>
        <v/>
      </c>
      <c r="F15" s="8">
        <f>IF(COUNT('Raw Data'!H16,'Raw Data'!I16)&lt;2,"n/a",'Raw Data'!H16/('Raw Data'!H16+'Raw Data'!I16))</f>
        <v/>
      </c>
      <c r="G15" s="10">
        <f>IF(COUNT('Raw Data'!H16,'Raw Data'!E16)&lt;2,"n/a",IF('Raw Data'!E16&lt;=0,"n/m",'Raw Data'!H16/'Raw Data'!E16))</f>
        <v/>
      </c>
      <c r="H15" s="10">
        <f>IF(COUNT('Raw Data'!D16,'Raw Data'!G16)&lt;2,"n/a",IF('Raw Data'!G16=0,"n/m",'Raw Data'!D16/'Raw Data'!G16))</f>
        <v/>
      </c>
      <c r="I15" s="8">
        <f>IF(COUNT('Raw Data'!F16,'Raw Data'!C16)&lt;2,"n/a",'Raw Data'!F16/'Raw Data'!C16)</f>
        <v/>
      </c>
      <c r="J15" s="9">
        <f>IF(COUNT('Raw Data'!C16,'Raw Data'!J16)&lt;2,"n/a",'Raw Data'!C16/'Raw Data'!J16)</f>
        <v/>
      </c>
      <c r="K15" s="9">
        <f>IF(COUNT('Raw Data'!J16,'Raw Data'!I16)&lt;2,"n/a",'Raw Data'!J16/'Raw Data'!I16)</f>
        <v/>
      </c>
      <c r="L15" s="11">
        <f>IF(COUNT(I15,J15,K15)&lt;3,"n/a",I15*J15*K15)</f>
        <v/>
      </c>
    </row>
    <row r="16">
      <c r="A16">
        <f>'Raw Data'!A17</f>
        <v/>
      </c>
      <c r="B16" s="6">
        <f>'Raw Data'!B17</f>
        <v/>
      </c>
      <c r="C16" s="8">
        <f>IF(COUNT('Raw Data'!D17,'Raw Data'!C17)&lt;2,"n/a",'Raw Data'!D17/'Raw Data'!C17)</f>
        <v/>
      </c>
      <c r="D16" s="8">
        <f>IF(COUNT('Raw Data'!N17,'Raw Data'!C17)&lt;2,"n/a",'Raw Data'!N17/'Raw Data'!C17)</f>
        <v/>
      </c>
      <c r="E16" s="9">
        <f>IF(COUNT('Raw Data'!K17,'Raw Data'!L17,'Raw Data'!M17)&lt;3,"n/a",('Raw Data'!K17-'Raw Data'!L17)/'Raw Data'!M17)</f>
        <v/>
      </c>
      <c r="F16" s="8">
        <f>IF(COUNT('Raw Data'!H17,'Raw Data'!I17)&lt;2,"n/a",'Raw Data'!H17/('Raw Data'!H17+'Raw Data'!I17))</f>
        <v/>
      </c>
      <c r="G16" s="10">
        <f>IF(COUNT('Raw Data'!H17,'Raw Data'!E17)&lt;2,"n/a",IF('Raw Data'!E17&lt;=0,"n/m",'Raw Data'!H17/'Raw Data'!E17))</f>
        <v/>
      </c>
      <c r="H16" s="10">
        <f>IF(COUNT('Raw Data'!D17,'Raw Data'!G17)&lt;2,"n/a",IF('Raw Data'!G17=0,"n/m",'Raw Data'!D17/'Raw Data'!G17))</f>
        <v/>
      </c>
      <c r="I16" s="8">
        <f>IF(COUNT('Raw Data'!F17,'Raw Data'!C17)&lt;2,"n/a",'Raw Data'!F17/'Raw Data'!C17)</f>
        <v/>
      </c>
      <c r="J16" s="9">
        <f>IF(COUNT('Raw Data'!C17,'Raw Data'!J17)&lt;2,"n/a",'Raw Data'!C17/'Raw Data'!J17)</f>
        <v/>
      </c>
      <c r="K16" s="9">
        <f>IF(COUNT('Raw Data'!J17,'Raw Data'!I17)&lt;2,"n/a",'Raw Data'!J17/'Raw Data'!I17)</f>
        <v/>
      </c>
      <c r="L16" s="11">
        <f>IF(COUNT(I16,J16,K16)&lt;3,"n/a",I16*J16*K16)</f>
        <v/>
      </c>
    </row>
    <row r="17">
      <c r="A17">
        <f>'Raw Data'!A18</f>
        <v/>
      </c>
      <c r="B17" s="6">
        <f>'Raw Data'!B18</f>
        <v/>
      </c>
      <c r="C17" s="8">
        <f>IF(COUNT('Raw Data'!D18,'Raw Data'!C18)&lt;2,"n/a",'Raw Data'!D18/'Raw Data'!C18)</f>
        <v/>
      </c>
      <c r="D17" s="8">
        <f>IF(COUNT('Raw Data'!N18,'Raw Data'!C18)&lt;2,"n/a",'Raw Data'!N18/'Raw Data'!C18)</f>
        <v/>
      </c>
      <c r="E17" s="9">
        <f>IF(COUNT('Raw Data'!K18,'Raw Data'!L18,'Raw Data'!M18)&lt;3,"n/a",('Raw Data'!K18-'Raw Data'!L18)/'Raw Data'!M18)</f>
        <v/>
      </c>
      <c r="F17" s="8">
        <f>IF(COUNT('Raw Data'!H18,'Raw Data'!I18)&lt;2,"n/a",'Raw Data'!H18/('Raw Data'!H18+'Raw Data'!I18))</f>
        <v/>
      </c>
      <c r="G17" s="10">
        <f>IF(COUNT('Raw Data'!H18,'Raw Data'!E18)&lt;2,"n/a",IF('Raw Data'!E18&lt;=0,"n/m",'Raw Data'!H18/'Raw Data'!E18))</f>
        <v/>
      </c>
      <c r="H17" s="10">
        <f>IF(COUNT('Raw Data'!D18,'Raw Data'!G18)&lt;2,"n/a",IF('Raw Data'!G18=0,"n/m",'Raw Data'!D18/'Raw Data'!G18))</f>
        <v/>
      </c>
      <c r="I17" s="8">
        <f>IF(COUNT('Raw Data'!F18,'Raw Data'!C18)&lt;2,"n/a",'Raw Data'!F18/'Raw Data'!C18)</f>
        <v/>
      </c>
      <c r="J17" s="9">
        <f>IF(COUNT('Raw Data'!C18,'Raw Data'!J18)&lt;2,"n/a",'Raw Data'!C18/'Raw Data'!J18)</f>
        <v/>
      </c>
      <c r="K17" s="9">
        <f>IF(COUNT('Raw Data'!J18,'Raw Data'!I18)&lt;2,"n/a",'Raw Data'!J18/'Raw Data'!I18)</f>
        <v/>
      </c>
      <c r="L17" s="11">
        <f>IF(COUNT(I17,J17,K17)&lt;3,"n/a",I17*J17*K17)</f>
        <v/>
      </c>
    </row>
    <row r="18">
      <c r="A18">
        <f>'Raw Data'!A19</f>
        <v/>
      </c>
      <c r="B18" s="6">
        <f>'Raw Data'!B19</f>
        <v/>
      </c>
      <c r="C18" s="8">
        <f>IF(COUNT('Raw Data'!D19,'Raw Data'!C19)&lt;2,"n/a",'Raw Data'!D19/'Raw Data'!C19)</f>
        <v/>
      </c>
      <c r="D18" s="8">
        <f>IF(COUNT('Raw Data'!N19,'Raw Data'!C19)&lt;2,"n/a",'Raw Data'!N19/'Raw Data'!C19)</f>
        <v/>
      </c>
      <c r="E18" s="9">
        <f>IF(COUNT('Raw Data'!K19,'Raw Data'!L19,'Raw Data'!M19)&lt;3,"n/a",('Raw Data'!K19-'Raw Data'!L19)/'Raw Data'!M19)</f>
        <v/>
      </c>
      <c r="F18" s="8">
        <f>IF(COUNT('Raw Data'!H19,'Raw Data'!I19)&lt;2,"n/a",'Raw Data'!H19/('Raw Data'!H19+'Raw Data'!I19))</f>
        <v/>
      </c>
      <c r="G18" s="10">
        <f>IF(COUNT('Raw Data'!H19,'Raw Data'!E19)&lt;2,"n/a",IF('Raw Data'!E19&lt;=0,"n/m",'Raw Data'!H19/'Raw Data'!E19))</f>
        <v/>
      </c>
      <c r="H18" s="10">
        <f>IF(COUNT('Raw Data'!D19,'Raw Data'!G19)&lt;2,"n/a",IF('Raw Data'!G19=0,"n/m",'Raw Data'!D19/'Raw Data'!G19))</f>
        <v/>
      </c>
      <c r="I18" s="8">
        <f>IF(COUNT('Raw Data'!F19,'Raw Data'!C19)&lt;2,"n/a",'Raw Data'!F19/'Raw Data'!C19)</f>
        <v/>
      </c>
      <c r="J18" s="9">
        <f>IF(COUNT('Raw Data'!C19,'Raw Data'!J19)&lt;2,"n/a",'Raw Data'!C19/'Raw Data'!J19)</f>
        <v/>
      </c>
      <c r="K18" s="9">
        <f>IF(COUNT('Raw Data'!J19,'Raw Data'!I19)&lt;2,"n/a",'Raw Data'!J19/'Raw Data'!I19)</f>
        <v/>
      </c>
      <c r="L18" s="11">
        <f>IF(COUNT(I18,J18,K18)&lt;3,"n/a",I18*J18*K18)</f>
        <v/>
      </c>
    </row>
    <row r="19">
      <c r="A19">
        <f>'Raw Data'!A20</f>
        <v/>
      </c>
      <c r="B19" s="6">
        <f>'Raw Data'!B20</f>
        <v/>
      </c>
      <c r="C19" s="8">
        <f>IF(COUNT('Raw Data'!D20,'Raw Data'!C20)&lt;2,"n/a",'Raw Data'!D20/'Raw Data'!C20)</f>
        <v/>
      </c>
      <c r="D19" s="8">
        <f>IF(COUNT('Raw Data'!N20,'Raw Data'!C20)&lt;2,"n/a",'Raw Data'!N20/'Raw Data'!C20)</f>
        <v/>
      </c>
      <c r="E19" s="9">
        <f>IF(COUNT('Raw Data'!K20,'Raw Data'!L20,'Raw Data'!M20)&lt;3,"n/a",('Raw Data'!K20-'Raw Data'!L20)/'Raw Data'!M20)</f>
        <v/>
      </c>
      <c r="F19" s="8">
        <f>IF(COUNT('Raw Data'!H20,'Raw Data'!I20)&lt;2,"n/a",'Raw Data'!H20/('Raw Data'!H20+'Raw Data'!I20))</f>
        <v/>
      </c>
      <c r="G19" s="10">
        <f>IF(COUNT('Raw Data'!H20,'Raw Data'!E20)&lt;2,"n/a",IF('Raw Data'!E20&lt;=0,"n/m",'Raw Data'!H20/'Raw Data'!E20))</f>
        <v/>
      </c>
      <c r="H19" s="10">
        <f>IF(COUNT('Raw Data'!D20,'Raw Data'!G20)&lt;2,"n/a",IF('Raw Data'!G20=0,"n/m",'Raw Data'!D20/'Raw Data'!G20))</f>
        <v/>
      </c>
      <c r="I19" s="8">
        <f>IF(COUNT('Raw Data'!F20,'Raw Data'!C20)&lt;2,"n/a",'Raw Data'!F20/'Raw Data'!C20)</f>
        <v/>
      </c>
      <c r="J19" s="9">
        <f>IF(COUNT('Raw Data'!C20,'Raw Data'!J20)&lt;2,"n/a",'Raw Data'!C20/'Raw Data'!J20)</f>
        <v/>
      </c>
      <c r="K19" s="9">
        <f>IF(COUNT('Raw Data'!J20,'Raw Data'!I20)&lt;2,"n/a",'Raw Data'!J20/'Raw Data'!I20)</f>
        <v/>
      </c>
      <c r="L19" s="11">
        <f>IF(COUNT(I19,J19,K19)&lt;3,"n/a",I19*J19*K19)</f>
        <v/>
      </c>
    </row>
    <row r="20">
      <c r="A20">
        <f>'Raw Data'!A21</f>
        <v/>
      </c>
      <c r="B20" s="6">
        <f>'Raw Data'!B21</f>
        <v/>
      </c>
      <c r="C20" s="8">
        <f>IF(COUNT('Raw Data'!D21,'Raw Data'!C21)&lt;2,"n/a",'Raw Data'!D21/'Raw Data'!C21)</f>
        <v/>
      </c>
      <c r="D20" s="8">
        <f>IF(COUNT('Raw Data'!N21,'Raw Data'!C21)&lt;2,"n/a",'Raw Data'!N21/'Raw Data'!C21)</f>
        <v/>
      </c>
      <c r="E20" s="9">
        <f>IF(COUNT('Raw Data'!K21,'Raw Data'!L21,'Raw Data'!M21)&lt;3,"n/a",('Raw Data'!K21-'Raw Data'!L21)/'Raw Data'!M21)</f>
        <v/>
      </c>
      <c r="F20" s="8">
        <f>IF(COUNT('Raw Data'!H21,'Raw Data'!I21)&lt;2,"n/a",'Raw Data'!H21/('Raw Data'!H21+'Raw Data'!I21))</f>
        <v/>
      </c>
      <c r="G20" s="10">
        <f>IF(COUNT('Raw Data'!H21,'Raw Data'!E21)&lt;2,"n/a",IF('Raw Data'!E21&lt;=0,"n/m",'Raw Data'!H21/'Raw Data'!E21))</f>
        <v/>
      </c>
      <c r="H20" s="10">
        <f>IF(COUNT('Raw Data'!D21,'Raw Data'!G21)&lt;2,"n/a",IF('Raw Data'!G21=0,"n/m",'Raw Data'!D21/'Raw Data'!G21))</f>
        <v/>
      </c>
      <c r="I20" s="8">
        <f>IF(COUNT('Raw Data'!F21,'Raw Data'!C21)&lt;2,"n/a",'Raw Data'!F21/'Raw Data'!C21)</f>
        <v/>
      </c>
      <c r="J20" s="9">
        <f>IF(COUNT('Raw Data'!C21,'Raw Data'!J21)&lt;2,"n/a",'Raw Data'!C21/'Raw Data'!J21)</f>
        <v/>
      </c>
      <c r="K20" s="9">
        <f>IF(COUNT('Raw Data'!J21,'Raw Data'!I21)&lt;2,"n/a",'Raw Data'!J21/'Raw Data'!I21)</f>
        <v/>
      </c>
      <c r="L20" s="11">
        <f>IF(COUNT(I20,J20,K20)&lt;3,"n/a",I20*J20*K20)</f>
        <v/>
      </c>
    </row>
    <row r="21">
      <c r="A21">
        <f>'Raw Data'!A22</f>
        <v/>
      </c>
      <c r="B21" s="6">
        <f>'Raw Data'!B22</f>
        <v/>
      </c>
      <c r="C21" s="8">
        <f>IF(COUNT('Raw Data'!D22,'Raw Data'!C22)&lt;2,"n/a",'Raw Data'!D22/'Raw Data'!C22)</f>
        <v/>
      </c>
      <c r="D21" s="8">
        <f>IF(COUNT('Raw Data'!N22,'Raw Data'!C22)&lt;2,"n/a",'Raw Data'!N22/'Raw Data'!C22)</f>
        <v/>
      </c>
      <c r="E21" s="9">
        <f>IF(COUNT('Raw Data'!K22,'Raw Data'!L22,'Raw Data'!M22)&lt;3,"n/a",('Raw Data'!K22-'Raw Data'!L22)/'Raw Data'!M22)</f>
        <v/>
      </c>
      <c r="F21" s="8">
        <f>IF(COUNT('Raw Data'!H22,'Raw Data'!I22)&lt;2,"n/a",'Raw Data'!H22/('Raw Data'!H22+'Raw Data'!I22))</f>
        <v/>
      </c>
      <c r="G21" s="10">
        <f>IF(COUNT('Raw Data'!H22,'Raw Data'!E22)&lt;2,"n/a",IF('Raw Data'!E22&lt;=0,"n/m",'Raw Data'!H22/'Raw Data'!E22))</f>
        <v/>
      </c>
      <c r="H21" s="10">
        <f>IF(COUNT('Raw Data'!D22,'Raw Data'!G22)&lt;2,"n/a",IF('Raw Data'!G22=0,"n/m",'Raw Data'!D22/'Raw Data'!G22))</f>
        <v/>
      </c>
      <c r="I21" s="8">
        <f>IF(COUNT('Raw Data'!F22,'Raw Data'!C22)&lt;2,"n/a",'Raw Data'!F22/'Raw Data'!C22)</f>
        <v/>
      </c>
      <c r="J21" s="9">
        <f>IF(COUNT('Raw Data'!C22,'Raw Data'!J22)&lt;2,"n/a",'Raw Data'!C22/'Raw Data'!J22)</f>
        <v/>
      </c>
      <c r="K21" s="9">
        <f>IF(COUNT('Raw Data'!J22,'Raw Data'!I22)&lt;2,"n/a",'Raw Data'!J22/'Raw Data'!I22)</f>
        <v/>
      </c>
      <c r="L21" s="11">
        <f>IF(COUNT(I21,J21,K21)&lt;3,"n/a",I21*J21*K21)</f>
        <v/>
      </c>
    </row>
    <row r="22">
      <c r="A22">
        <f>'Raw Data'!A23</f>
        <v/>
      </c>
      <c r="B22" s="6">
        <f>'Raw Data'!B23</f>
        <v/>
      </c>
      <c r="C22" s="8">
        <f>IF(COUNT('Raw Data'!D23,'Raw Data'!C23)&lt;2,"n/a",'Raw Data'!D23/'Raw Data'!C23)</f>
        <v/>
      </c>
      <c r="D22" s="8">
        <f>IF(COUNT('Raw Data'!N23,'Raw Data'!C23)&lt;2,"n/a",'Raw Data'!N23/'Raw Data'!C23)</f>
        <v/>
      </c>
      <c r="E22" s="9">
        <f>IF(COUNT('Raw Data'!K23,'Raw Data'!L23,'Raw Data'!M23)&lt;3,"n/a",('Raw Data'!K23-'Raw Data'!L23)/'Raw Data'!M23)</f>
        <v/>
      </c>
      <c r="F22" s="8">
        <f>IF(COUNT('Raw Data'!H23,'Raw Data'!I23)&lt;2,"n/a",'Raw Data'!H23/('Raw Data'!H23+'Raw Data'!I23))</f>
        <v/>
      </c>
      <c r="G22" s="10">
        <f>IF(COUNT('Raw Data'!H23,'Raw Data'!E23)&lt;2,"n/a",IF('Raw Data'!E23&lt;=0,"n/m",'Raw Data'!H23/'Raw Data'!E23))</f>
        <v/>
      </c>
      <c r="H22" s="10">
        <f>IF(COUNT('Raw Data'!D23,'Raw Data'!G23)&lt;2,"n/a",IF('Raw Data'!G23=0,"n/m",'Raw Data'!D23/'Raw Data'!G23))</f>
        <v/>
      </c>
      <c r="I22" s="8">
        <f>IF(COUNT('Raw Data'!F23,'Raw Data'!C23)&lt;2,"n/a",'Raw Data'!F23/'Raw Data'!C23)</f>
        <v/>
      </c>
      <c r="J22" s="9">
        <f>IF(COUNT('Raw Data'!C23,'Raw Data'!J23)&lt;2,"n/a",'Raw Data'!C23/'Raw Data'!J23)</f>
        <v/>
      </c>
      <c r="K22" s="9">
        <f>IF(COUNT('Raw Data'!J23,'Raw Data'!I23)&lt;2,"n/a",'Raw Data'!J23/'Raw Data'!I23)</f>
        <v/>
      </c>
      <c r="L22" s="11">
        <f>IF(COUNT(I22,J22,K22)&lt;3,"n/a",I22*J22*K22)</f>
        <v/>
      </c>
    </row>
    <row r="23">
      <c r="A23">
        <f>'Raw Data'!A24</f>
        <v/>
      </c>
      <c r="B23" s="6">
        <f>'Raw Data'!B24</f>
        <v/>
      </c>
      <c r="C23" s="8">
        <f>IF(COUNT('Raw Data'!D24,'Raw Data'!C24)&lt;2,"n/a",'Raw Data'!D24/'Raw Data'!C24)</f>
        <v/>
      </c>
      <c r="D23" s="8">
        <f>IF(COUNT('Raw Data'!N24,'Raw Data'!C24)&lt;2,"n/a",'Raw Data'!N24/'Raw Data'!C24)</f>
        <v/>
      </c>
      <c r="E23" s="9">
        <f>IF(COUNT('Raw Data'!K24,'Raw Data'!L24,'Raw Data'!M24)&lt;3,"n/a",('Raw Data'!K24-'Raw Data'!L24)/'Raw Data'!M24)</f>
        <v/>
      </c>
      <c r="F23" s="8">
        <f>IF(COUNT('Raw Data'!H24,'Raw Data'!I24)&lt;2,"n/a",'Raw Data'!H24/('Raw Data'!H24+'Raw Data'!I24))</f>
        <v/>
      </c>
      <c r="G23" s="10">
        <f>IF(COUNT('Raw Data'!H24,'Raw Data'!E24)&lt;2,"n/a",IF('Raw Data'!E24&lt;=0,"n/m",'Raw Data'!H24/'Raw Data'!E24))</f>
        <v/>
      </c>
      <c r="H23" s="10">
        <f>IF(COUNT('Raw Data'!D24,'Raw Data'!G24)&lt;2,"n/a",IF('Raw Data'!G24=0,"n/m",'Raw Data'!D24/'Raw Data'!G24))</f>
        <v/>
      </c>
      <c r="I23" s="8">
        <f>IF(COUNT('Raw Data'!F24,'Raw Data'!C24)&lt;2,"n/a",'Raw Data'!F24/'Raw Data'!C24)</f>
        <v/>
      </c>
      <c r="J23" s="9">
        <f>IF(COUNT('Raw Data'!C24,'Raw Data'!J24)&lt;2,"n/a",'Raw Data'!C24/'Raw Data'!J24)</f>
        <v/>
      </c>
      <c r="K23" s="9">
        <f>IF(COUNT('Raw Data'!J24,'Raw Data'!I24)&lt;2,"n/a",'Raw Data'!J24/'Raw Data'!I24)</f>
        <v/>
      </c>
      <c r="L23" s="11">
        <f>IF(COUNT(I23,J23,K23)&lt;3,"n/a",I23*J23*K23)</f>
        <v/>
      </c>
    </row>
    <row r="24">
      <c r="A24">
        <f>'Raw Data'!A25</f>
        <v/>
      </c>
      <c r="B24" s="6">
        <f>'Raw Data'!B25</f>
        <v/>
      </c>
      <c r="C24" s="8">
        <f>IF(COUNT('Raw Data'!D25,'Raw Data'!C25)&lt;2,"n/a",'Raw Data'!D25/'Raw Data'!C25)</f>
        <v/>
      </c>
      <c r="D24" s="8">
        <f>IF(COUNT('Raw Data'!N25,'Raw Data'!C25)&lt;2,"n/a",'Raw Data'!N25/'Raw Data'!C25)</f>
        <v/>
      </c>
      <c r="E24" s="9">
        <f>IF(COUNT('Raw Data'!K25,'Raw Data'!L25,'Raw Data'!M25)&lt;3,"n/a",('Raw Data'!K25-'Raw Data'!L25)/'Raw Data'!M25)</f>
        <v/>
      </c>
      <c r="F24" s="8">
        <f>IF(COUNT('Raw Data'!H25,'Raw Data'!I25)&lt;2,"n/a",'Raw Data'!H25/('Raw Data'!H25+'Raw Data'!I25))</f>
        <v/>
      </c>
      <c r="G24" s="10">
        <f>IF(COUNT('Raw Data'!H25,'Raw Data'!E25)&lt;2,"n/a",IF('Raw Data'!E25&lt;=0,"n/m",'Raw Data'!H25/'Raw Data'!E25))</f>
        <v/>
      </c>
      <c r="H24" s="10">
        <f>IF(COUNT('Raw Data'!D25,'Raw Data'!G25)&lt;2,"n/a",IF('Raw Data'!G25=0,"n/m",'Raw Data'!D25/'Raw Data'!G25))</f>
        <v/>
      </c>
      <c r="I24" s="8">
        <f>IF(COUNT('Raw Data'!F25,'Raw Data'!C25)&lt;2,"n/a",'Raw Data'!F25/'Raw Data'!C25)</f>
        <v/>
      </c>
      <c r="J24" s="9">
        <f>IF(COUNT('Raw Data'!C25,'Raw Data'!J25)&lt;2,"n/a",'Raw Data'!C25/'Raw Data'!J25)</f>
        <v/>
      </c>
      <c r="K24" s="9">
        <f>IF(COUNT('Raw Data'!J25,'Raw Data'!I25)&lt;2,"n/a",'Raw Data'!J25/'Raw Data'!I25)</f>
        <v/>
      </c>
      <c r="L24" s="11">
        <f>IF(COUNT(I24,J24,K24)&lt;3,"n/a",I24*J24*K24)</f>
        <v/>
      </c>
    </row>
    <row r="25">
      <c r="A25">
        <f>'Raw Data'!A26</f>
        <v/>
      </c>
      <c r="B25" s="6">
        <f>'Raw Data'!B26</f>
        <v/>
      </c>
      <c r="C25" s="8">
        <f>IF(COUNT('Raw Data'!D26,'Raw Data'!C26)&lt;2,"n/a",'Raw Data'!D26/'Raw Data'!C26)</f>
        <v/>
      </c>
      <c r="D25" s="8">
        <f>IF(COUNT('Raw Data'!N26,'Raw Data'!C26)&lt;2,"n/a",'Raw Data'!N26/'Raw Data'!C26)</f>
        <v/>
      </c>
      <c r="E25" s="9">
        <f>IF(COUNT('Raw Data'!K26,'Raw Data'!L26,'Raw Data'!M26)&lt;3,"n/a",('Raw Data'!K26-'Raw Data'!L26)/'Raw Data'!M26)</f>
        <v/>
      </c>
      <c r="F25" s="8">
        <f>IF(COUNT('Raw Data'!H26,'Raw Data'!I26)&lt;2,"n/a",'Raw Data'!H26/('Raw Data'!H26+'Raw Data'!I26))</f>
        <v/>
      </c>
      <c r="G25" s="10">
        <f>IF(COUNT('Raw Data'!H26,'Raw Data'!E26)&lt;2,"n/a",IF('Raw Data'!E26&lt;=0,"n/m",'Raw Data'!H26/'Raw Data'!E26))</f>
        <v/>
      </c>
      <c r="H25" s="10">
        <f>IF(COUNT('Raw Data'!D26,'Raw Data'!G26)&lt;2,"n/a",IF('Raw Data'!G26=0,"n/m",'Raw Data'!D26/'Raw Data'!G26))</f>
        <v/>
      </c>
      <c r="I25" s="8">
        <f>IF(COUNT('Raw Data'!F26,'Raw Data'!C26)&lt;2,"n/a",'Raw Data'!F26/'Raw Data'!C26)</f>
        <v/>
      </c>
      <c r="J25" s="9">
        <f>IF(COUNT('Raw Data'!C26,'Raw Data'!J26)&lt;2,"n/a",'Raw Data'!C26/'Raw Data'!J26)</f>
        <v/>
      </c>
      <c r="K25" s="9">
        <f>IF(COUNT('Raw Data'!J26,'Raw Data'!I26)&lt;2,"n/a",'Raw Data'!J26/'Raw Data'!I26)</f>
        <v/>
      </c>
      <c r="L25" s="11">
        <f>IF(COUNT(I25,J25,K25)&lt;3,"n/a",I25*J25*K25)</f>
        <v/>
      </c>
    </row>
    <row r="26">
      <c r="A26">
        <f>'Raw Data'!A27</f>
        <v/>
      </c>
      <c r="B26" s="6">
        <f>'Raw Data'!B27</f>
        <v/>
      </c>
      <c r="C26" s="8">
        <f>IF(COUNT('Raw Data'!D27,'Raw Data'!C27)&lt;2,"n/a",'Raw Data'!D27/'Raw Data'!C27)</f>
        <v/>
      </c>
      <c r="D26" s="8">
        <f>IF(COUNT('Raw Data'!N27,'Raw Data'!C27)&lt;2,"n/a",'Raw Data'!N27/'Raw Data'!C27)</f>
        <v/>
      </c>
      <c r="E26" s="9">
        <f>IF(COUNT('Raw Data'!K27,'Raw Data'!L27,'Raw Data'!M27)&lt;3,"n/a",('Raw Data'!K27-'Raw Data'!L27)/'Raw Data'!M27)</f>
        <v/>
      </c>
      <c r="F26" s="8">
        <f>IF(COUNT('Raw Data'!H27,'Raw Data'!I27)&lt;2,"n/a",'Raw Data'!H27/('Raw Data'!H27+'Raw Data'!I27))</f>
        <v/>
      </c>
      <c r="G26" s="10">
        <f>IF(COUNT('Raw Data'!H27,'Raw Data'!E27)&lt;2,"n/a",IF('Raw Data'!E27&lt;=0,"n/m",'Raw Data'!H27/'Raw Data'!E27))</f>
        <v/>
      </c>
      <c r="H26" s="10">
        <f>IF(COUNT('Raw Data'!D27,'Raw Data'!G27)&lt;2,"n/a",IF('Raw Data'!G27=0,"n/m",'Raw Data'!D27/'Raw Data'!G27))</f>
        <v/>
      </c>
      <c r="I26" s="8">
        <f>IF(COUNT('Raw Data'!F27,'Raw Data'!C27)&lt;2,"n/a",'Raw Data'!F27/'Raw Data'!C27)</f>
        <v/>
      </c>
      <c r="J26" s="9">
        <f>IF(COUNT('Raw Data'!C27,'Raw Data'!J27)&lt;2,"n/a",'Raw Data'!C27/'Raw Data'!J27)</f>
        <v/>
      </c>
      <c r="K26" s="9">
        <f>IF(COUNT('Raw Data'!J27,'Raw Data'!I27)&lt;2,"n/a",'Raw Data'!J27/'Raw Data'!I27)</f>
        <v/>
      </c>
      <c r="L26" s="11">
        <f>IF(COUNT(I26,J26,K26)&lt;3,"n/a",I26*J26*K26)</f>
        <v/>
      </c>
    </row>
    <row r="27">
      <c r="A27">
        <f>'Raw Data'!A28</f>
        <v/>
      </c>
      <c r="B27" s="6">
        <f>'Raw Data'!B28</f>
        <v/>
      </c>
      <c r="C27" s="8">
        <f>IF(COUNT('Raw Data'!D28,'Raw Data'!C28)&lt;2,"n/a",'Raw Data'!D28/'Raw Data'!C28)</f>
        <v/>
      </c>
      <c r="D27" s="8">
        <f>IF(COUNT('Raw Data'!N28,'Raw Data'!C28)&lt;2,"n/a",'Raw Data'!N28/'Raw Data'!C28)</f>
        <v/>
      </c>
      <c r="E27" s="9">
        <f>IF(COUNT('Raw Data'!K28,'Raw Data'!L28,'Raw Data'!M28)&lt;3,"n/a",('Raw Data'!K28-'Raw Data'!L28)/'Raw Data'!M28)</f>
        <v/>
      </c>
      <c r="F27" s="8">
        <f>IF(COUNT('Raw Data'!H28,'Raw Data'!I28)&lt;2,"n/a",'Raw Data'!H28/('Raw Data'!H28+'Raw Data'!I28))</f>
        <v/>
      </c>
      <c r="G27" s="10">
        <f>IF(COUNT('Raw Data'!H28,'Raw Data'!E28)&lt;2,"n/a",IF('Raw Data'!E28&lt;=0,"n/m",'Raw Data'!H28/'Raw Data'!E28))</f>
        <v/>
      </c>
      <c r="H27" s="10">
        <f>IF(COUNT('Raw Data'!D28,'Raw Data'!G28)&lt;2,"n/a",IF('Raw Data'!G28=0,"n/m",'Raw Data'!D28/'Raw Data'!G28))</f>
        <v/>
      </c>
      <c r="I27" s="8">
        <f>IF(COUNT('Raw Data'!F28,'Raw Data'!C28)&lt;2,"n/a",'Raw Data'!F28/'Raw Data'!C28)</f>
        <v/>
      </c>
      <c r="J27" s="9">
        <f>IF(COUNT('Raw Data'!C28,'Raw Data'!J28)&lt;2,"n/a",'Raw Data'!C28/'Raw Data'!J28)</f>
        <v/>
      </c>
      <c r="K27" s="9">
        <f>IF(COUNT('Raw Data'!J28,'Raw Data'!I28)&lt;2,"n/a",'Raw Data'!J28/'Raw Data'!I28)</f>
        <v/>
      </c>
      <c r="L27" s="11">
        <f>IF(COUNT(I27,J27,K27)&lt;3,"n/a",I27*J27*K27)</f>
        <v/>
      </c>
    </row>
    <row r="28">
      <c r="A28">
        <f>'Raw Data'!A29</f>
        <v/>
      </c>
      <c r="B28" s="6">
        <f>'Raw Data'!B29</f>
        <v/>
      </c>
      <c r="C28" s="8">
        <f>IF(COUNT('Raw Data'!D29,'Raw Data'!C29)&lt;2,"n/a",'Raw Data'!D29/'Raw Data'!C29)</f>
        <v/>
      </c>
      <c r="D28" s="8">
        <f>IF(COUNT('Raw Data'!N29,'Raw Data'!C29)&lt;2,"n/a",'Raw Data'!N29/'Raw Data'!C29)</f>
        <v/>
      </c>
      <c r="E28" s="9">
        <f>IF(COUNT('Raw Data'!K29,'Raw Data'!L29,'Raw Data'!M29)&lt;3,"n/a",('Raw Data'!K29-'Raw Data'!L29)/'Raw Data'!M29)</f>
        <v/>
      </c>
      <c r="F28" s="8">
        <f>IF(COUNT('Raw Data'!H29,'Raw Data'!I29)&lt;2,"n/a",'Raw Data'!H29/('Raw Data'!H29+'Raw Data'!I29))</f>
        <v/>
      </c>
      <c r="G28" s="10">
        <f>IF(COUNT('Raw Data'!H29,'Raw Data'!E29)&lt;2,"n/a",IF('Raw Data'!E29&lt;=0,"n/m",'Raw Data'!H29/'Raw Data'!E29))</f>
        <v/>
      </c>
      <c r="H28" s="10">
        <f>IF(COUNT('Raw Data'!D29,'Raw Data'!G29)&lt;2,"n/a",IF('Raw Data'!G29=0,"n/m",'Raw Data'!D29/'Raw Data'!G29))</f>
        <v/>
      </c>
      <c r="I28" s="8">
        <f>IF(COUNT('Raw Data'!F29,'Raw Data'!C29)&lt;2,"n/a",'Raw Data'!F29/'Raw Data'!C29)</f>
        <v/>
      </c>
      <c r="J28" s="9">
        <f>IF(COUNT('Raw Data'!C29,'Raw Data'!J29)&lt;2,"n/a",'Raw Data'!C29/'Raw Data'!J29)</f>
        <v/>
      </c>
      <c r="K28" s="9">
        <f>IF(COUNT('Raw Data'!J29,'Raw Data'!I29)&lt;2,"n/a",'Raw Data'!J29/'Raw Data'!I29)</f>
        <v/>
      </c>
      <c r="L28" s="11">
        <f>IF(COUNT(I28,J28,K28)&lt;3,"n/a",I28*J28*K28)</f>
        <v/>
      </c>
    </row>
    <row r="29">
      <c r="A29">
        <f>'Raw Data'!A30</f>
        <v/>
      </c>
      <c r="B29" s="6">
        <f>'Raw Data'!B30</f>
        <v/>
      </c>
      <c r="C29" s="8">
        <f>IF(COUNT('Raw Data'!D30,'Raw Data'!C30)&lt;2,"n/a",'Raw Data'!D30/'Raw Data'!C30)</f>
        <v/>
      </c>
      <c r="D29" s="8">
        <f>IF(COUNT('Raw Data'!N30,'Raw Data'!C30)&lt;2,"n/a",'Raw Data'!N30/'Raw Data'!C30)</f>
        <v/>
      </c>
      <c r="E29" s="9">
        <f>IF(COUNT('Raw Data'!K30,'Raw Data'!L30,'Raw Data'!M30)&lt;3,"n/a",('Raw Data'!K30-'Raw Data'!L30)/'Raw Data'!M30)</f>
        <v/>
      </c>
      <c r="F29" s="8">
        <f>IF(COUNT('Raw Data'!H30,'Raw Data'!I30)&lt;2,"n/a",'Raw Data'!H30/('Raw Data'!H30+'Raw Data'!I30))</f>
        <v/>
      </c>
      <c r="G29" s="10">
        <f>IF(COUNT('Raw Data'!H30,'Raw Data'!E30)&lt;2,"n/a",IF('Raw Data'!E30&lt;=0,"n/m",'Raw Data'!H30/'Raw Data'!E30))</f>
        <v/>
      </c>
      <c r="H29" s="10">
        <f>IF(COUNT('Raw Data'!D30,'Raw Data'!G30)&lt;2,"n/a",IF('Raw Data'!G30=0,"n/m",'Raw Data'!D30/'Raw Data'!G30))</f>
        <v/>
      </c>
      <c r="I29" s="8">
        <f>IF(COUNT('Raw Data'!F30,'Raw Data'!C30)&lt;2,"n/a",'Raw Data'!F30/'Raw Data'!C30)</f>
        <v/>
      </c>
      <c r="J29" s="9">
        <f>IF(COUNT('Raw Data'!C30,'Raw Data'!J30)&lt;2,"n/a",'Raw Data'!C30/'Raw Data'!J30)</f>
        <v/>
      </c>
      <c r="K29" s="9">
        <f>IF(COUNT('Raw Data'!J30,'Raw Data'!I30)&lt;2,"n/a",'Raw Data'!J30/'Raw Data'!I30)</f>
        <v/>
      </c>
      <c r="L29" s="11">
        <f>IF(COUNT(I29,J29,K29)&lt;3,"n/a",I29*J29*K29)</f>
        <v/>
      </c>
    </row>
    <row r="30">
      <c r="A30">
        <f>'Raw Data'!A31</f>
        <v/>
      </c>
      <c r="B30" s="6">
        <f>'Raw Data'!B31</f>
        <v/>
      </c>
      <c r="C30" s="8">
        <f>IF(COUNT('Raw Data'!D31,'Raw Data'!C31)&lt;2,"n/a",'Raw Data'!D31/'Raw Data'!C31)</f>
        <v/>
      </c>
      <c r="D30" s="8">
        <f>IF(COUNT('Raw Data'!N31,'Raw Data'!C31)&lt;2,"n/a",'Raw Data'!N31/'Raw Data'!C31)</f>
        <v/>
      </c>
      <c r="E30" s="9">
        <f>IF(COUNT('Raw Data'!K31,'Raw Data'!L31,'Raw Data'!M31)&lt;3,"n/a",('Raw Data'!K31-'Raw Data'!L31)/'Raw Data'!M31)</f>
        <v/>
      </c>
      <c r="F30" s="8">
        <f>IF(COUNT('Raw Data'!H31,'Raw Data'!I31)&lt;2,"n/a",'Raw Data'!H31/('Raw Data'!H31+'Raw Data'!I31))</f>
        <v/>
      </c>
      <c r="G30" s="10">
        <f>IF(COUNT('Raw Data'!H31,'Raw Data'!E31)&lt;2,"n/a",IF('Raw Data'!E31&lt;=0,"n/m",'Raw Data'!H31/'Raw Data'!E31))</f>
        <v/>
      </c>
      <c r="H30" s="10">
        <f>IF(COUNT('Raw Data'!D31,'Raw Data'!G31)&lt;2,"n/a",IF('Raw Data'!G31=0,"n/m",'Raw Data'!D31/'Raw Data'!G31))</f>
        <v/>
      </c>
      <c r="I30" s="8">
        <f>IF(COUNT('Raw Data'!F31,'Raw Data'!C31)&lt;2,"n/a",'Raw Data'!F31/'Raw Data'!C31)</f>
        <v/>
      </c>
      <c r="J30" s="9">
        <f>IF(COUNT('Raw Data'!C31,'Raw Data'!J31)&lt;2,"n/a",'Raw Data'!C31/'Raw Data'!J31)</f>
        <v/>
      </c>
      <c r="K30" s="9">
        <f>IF(COUNT('Raw Data'!J31,'Raw Data'!I31)&lt;2,"n/a",'Raw Data'!J31/'Raw Data'!I31)</f>
        <v/>
      </c>
      <c r="L30" s="11">
        <f>IF(COUNT(I30,J30,K30)&lt;3,"n/a",I30*J30*K30)</f>
        <v/>
      </c>
    </row>
    <row r="31">
      <c r="A31">
        <f>'Raw Data'!A32</f>
        <v/>
      </c>
      <c r="B31" s="6">
        <f>'Raw Data'!B32</f>
        <v/>
      </c>
      <c r="C31" s="8">
        <f>IF(COUNT('Raw Data'!D32,'Raw Data'!C32)&lt;2,"n/a",'Raw Data'!D32/'Raw Data'!C32)</f>
        <v/>
      </c>
      <c r="D31" s="8">
        <f>IF(COUNT('Raw Data'!N32,'Raw Data'!C32)&lt;2,"n/a",'Raw Data'!N32/'Raw Data'!C32)</f>
        <v/>
      </c>
      <c r="E31" s="9">
        <f>IF(COUNT('Raw Data'!K32,'Raw Data'!L32,'Raw Data'!M32)&lt;3,"n/a",('Raw Data'!K32-'Raw Data'!L32)/'Raw Data'!M32)</f>
        <v/>
      </c>
      <c r="F31" s="8">
        <f>IF(COUNT('Raw Data'!H32,'Raw Data'!I32)&lt;2,"n/a",'Raw Data'!H32/('Raw Data'!H32+'Raw Data'!I32))</f>
        <v/>
      </c>
      <c r="G31" s="10">
        <f>IF(COUNT('Raw Data'!H32,'Raw Data'!E32)&lt;2,"n/a",IF('Raw Data'!E32&lt;=0,"n/m",'Raw Data'!H32/'Raw Data'!E32))</f>
        <v/>
      </c>
      <c r="H31" s="10">
        <f>IF(COUNT('Raw Data'!D32,'Raw Data'!G32)&lt;2,"n/a",IF('Raw Data'!G32=0,"n/m",'Raw Data'!D32/'Raw Data'!G32))</f>
        <v/>
      </c>
      <c r="I31" s="8">
        <f>IF(COUNT('Raw Data'!F32,'Raw Data'!C32)&lt;2,"n/a",'Raw Data'!F32/'Raw Data'!C32)</f>
        <v/>
      </c>
      <c r="J31" s="9">
        <f>IF(COUNT('Raw Data'!C32,'Raw Data'!J32)&lt;2,"n/a",'Raw Data'!C32/'Raw Data'!J32)</f>
        <v/>
      </c>
      <c r="K31" s="9">
        <f>IF(COUNT('Raw Data'!J32,'Raw Data'!I32)&lt;2,"n/a",'Raw Data'!J32/'Raw Data'!I32)</f>
        <v/>
      </c>
      <c r="L31" s="11">
        <f>IF(COUNT(I31,J31,K31)&lt;3,"n/a",I31*J31*K31)</f>
        <v/>
      </c>
    </row>
    <row r="32">
      <c r="A32">
        <f>'Raw Data'!A33</f>
        <v/>
      </c>
      <c r="B32" s="6">
        <f>'Raw Data'!B33</f>
        <v/>
      </c>
      <c r="C32" s="8">
        <f>IF(COUNT('Raw Data'!D33,'Raw Data'!C33)&lt;2,"n/a",'Raw Data'!D33/'Raw Data'!C33)</f>
        <v/>
      </c>
      <c r="D32" s="8">
        <f>IF(COUNT('Raw Data'!N33,'Raw Data'!C33)&lt;2,"n/a",'Raw Data'!N33/'Raw Data'!C33)</f>
        <v/>
      </c>
      <c r="E32" s="9">
        <f>IF(COUNT('Raw Data'!K33,'Raw Data'!L33,'Raw Data'!M33)&lt;3,"n/a",('Raw Data'!K33-'Raw Data'!L33)/'Raw Data'!M33)</f>
        <v/>
      </c>
      <c r="F32" s="8">
        <f>IF(COUNT('Raw Data'!H33,'Raw Data'!I33)&lt;2,"n/a",'Raw Data'!H33/('Raw Data'!H33+'Raw Data'!I33))</f>
        <v/>
      </c>
      <c r="G32" s="10">
        <f>IF(COUNT('Raw Data'!H33,'Raw Data'!E33)&lt;2,"n/a",IF('Raw Data'!E33&lt;=0,"n/m",'Raw Data'!H33/'Raw Data'!E33))</f>
        <v/>
      </c>
      <c r="H32" s="10">
        <f>IF(COUNT('Raw Data'!D33,'Raw Data'!G33)&lt;2,"n/a",IF('Raw Data'!G33=0,"n/m",'Raw Data'!D33/'Raw Data'!G33))</f>
        <v/>
      </c>
      <c r="I32" s="8">
        <f>IF(COUNT('Raw Data'!F33,'Raw Data'!C33)&lt;2,"n/a",'Raw Data'!F33/'Raw Data'!C33)</f>
        <v/>
      </c>
      <c r="J32" s="9">
        <f>IF(COUNT('Raw Data'!C33,'Raw Data'!J33)&lt;2,"n/a",'Raw Data'!C33/'Raw Data'!J33)</f>
        <v/>
      </c>
      <c r="K32" s="9">
        <f>IF(COUNT('Raw Data'!J33,'Raw Data'!I33)&lt;2,"n/a",'Raw Data'!J33/'Raw Data'!I33)</f>
        <v/>
      </c>
      <c r="L32" s="11">
        <f>IF(COUNT(I32,J32,K32)&lt;3,"n/a",I32*J32*K32)</f>
        <v/>
      </c>
    </row>
    <row r="33">
      <c r="A33">
        <f>'Raw Data'!A34</f>
        <v/>
      </c>
      <c r="B33" s="6">
        <f>'Raw Data'!B34</f>
        <v/>
      </c>
      <c r="C33" s="8">
        <f>IF(COUNT('Raw Data'!D34,'Raw Data'!C34)&lt;2,"n/a",'Raw Data'!D34/'Raw Data'!C34)</f>
        <v/>
      </c>
      <c r="D33" s="8">
        <f>IF(COUNT('Raw Data'!N34,'Raw Data'!C34)&lt;2,"n/a",'Raw Data'!N34/'Raw Data'!C34)</f>
        <v/>
      </c>
      <c r="E33" s="9">
        <f>IF(COUNT('Raw Data'!K34,'Raw Data'!L34,'Raw Data'!M34)&lt;3,"n/a",('Raw Data'!K34-'Raw Data'!L34)/'Raw Data'!M34)</f>
        <v/>
      </c>
      <c r="F33" s="8">
        <f>IF(COUNT('Raw Data'!H34,'Raw Data'!I34)&lt;2,"n/a",'Raw Data'!H34/('Raw Data'!H34+'Raw Data'!I34))</f>
        <v/>
      </c>
      <c r="G33" s="10">
        <f>IF(COUNT('Raw Data'!H34,'Raw Data'!E34)&lt;2,"n/a",IF('Raw Data'!E34&lt;=0,"n/m",'Raw Data'!H34/'Raw Data'!E34))</f>
        <v/>
      </c>
      <c r="H33" s="10">
        <f>IF(COUNT('Raw Data'!D34,'Raw Data'!G34)&lt;2,"n/a",IF('Raw Data'!G34=0,"n/m",'Raw Data'!D34/'Raw Data'!G34))</f>
        <v/>
      </c>
      <c r="I33" s="8">
        <f>IF(COUNT('Raw Data'!F34,'Raw Data'!C34)&lt;2,"n/a",'Raw Data'!F34/'Raw Data'!C34)</f>
        <v/>
      </c>
      <c r="J33" s="9">
        <f>IF(COUNT('Raw Data'!C34,'Raw Data'!J34)&lt;2,"n/a",'Raw Data'!C34/'Raw Data'!J34)</f>
        <v/>
      </c>
      <c r="K33" s="9">
        <f>IF(COUNT('Raw Data'!J34,'Raw Data'!I34)&lt;2,"n/a",'Raw Data'!J34/'Raw Data'!I34)</f>
        <v/>
      </c>
      <c r="L33" s="11">
        <f>IF(COUNT(I33,J33,K33)&lt;3,"n/a",I33*J33*K33)</f>
        <v/>
      </c>
    </row>
    <row r="34">
      <c r="A34">
        <f>'Raw Data'!A35</f>
        <v/>
      </c>
      <c r="B34" s="6">
        <f>'Raw Data'!B35</f>
        <v/>
      </c>
      <c r="C34" s="8">
        <f>IF(COUNT('Raw Data'!D35,'Raw Data'!C35)&lt;2,"n/a",'Raw Data'!D35/'Raw Data'!C35)</f>
        <v/>
      </c>
      <c r="D34" s="8">
        <f>IF(COUNT('Raw Data'!N35,'Raw Data'!C35)&lt;2,"n/a",'Raw Data'!N35/'Raw Data'!C35)</f>
        <v/>
      </c>
      <c r="E34" s="9">
        <f>IF(COUNT('Raw Data'!K35,'Raw Data'!L35,'Raw Data'!M35)&lt;3,"n/a",('Raw Data'!K35-'Raw Data'!L35)/'Raw Data'!M35)</f>
        <v/>
      </c>
      <c r="F34" s="8">
        <f>IF(COUNT('Raw Data'!H35,'Raw Data'!I35)&lt;2,"n/a",'Raw Data'!H35/('Raw Data'!H35+'Raw Data'!I35))</f>
        <v/>
      </c>
      <c r="G34" s="10">
        <f>IF(COUNT('Raw Data'!H35,'Raw Data'!E35)&lt;2,"n/a",IF('Raw Data'!E35&lt;=0,"n/m",'Raw Data'!H35/'Raw Data'!E35))</f>
        <v/>
      </c>
      <c r="H34" s="10">
        <f>IF(COUNT('Raw Data'!D35,'Raw Data'!G35)&lt;2,"n/a",IF('Raw Data'!G35=0,"n/m",'Raw Data'!D35/'Raw Data'!G35))</f>
        <v/>
      </c>
      <c r="I34" s="8">
        <f>IF(COUNT('Raw Data'!F35,'Raw Data'!C35)&lt;2,"n/a",'Raw Data'!F35/'Raw Data'!C35)</f>
        <v/>
      </c>
      <c r="J34" s="9">
        <f>IF(COUNT('Raw Data'!C35,'Raw Data'!J35)&lt;2,"n/a",'Raw Data'!C35/'Raw Data'!J35)</f>
        <v/>
      </c>
      <c r="K34" s="9">
        <f>IF(COUNT('Raw Data'!J35,'Raw Data'!I35)&lt;2,"n/a",'Raw Data'!J35/'Raw Data'!I35)</f>
        <v/>
      </c>
      <c r="L34" s="11">
        <f>IF(COUNT(I34,J34,K34)&lt;3,"n/a",I34*J34*K34)</f>
        <v/>
      </c>
    </row>
    <row r="35">
      <c r="A35">
        <f>'Raw Data'!A36</f>
        <v/>
      </c>
      <c r="B35" s="6">
        <f>'Raw Data'!B36</f>
        <v/>
      </c>
      <c r="C35" s="8">
        <f>IF(COUNT('Raw Data'!D36,'Raw Data'!C36)&lt;2,"n/a",'Raw Data'!D36/'Raw Data'!C36)</f>
        <v/>
      </c>
      <c r="D35" s="8">
        <f>IF(COUNT('Raw Data'!N36,'Raw Data'!C36)&lt;2,"n/a",'Raw Data'!N36/'Raw Data'!C36)</f>
        <v/>
      </c>
      <c r="E35" s="9">
        <f>IF(COUNT('Raw Data'!K36,'Raw Data'!L36,'Raw Data'!M36)&lt;3,"n/a",('Raw Data'!K36-'Raw Data'!L36)/'Raw Data'!M36)</f>
        <v/>
      </c>
      <c r="F35" s="8">
        <f>IF(COUNT('Raw Data'!H36,'Raw Data'!I36)&lt;2,"n/a",'Raw Data'!H36/('Raw Data'!H36+'Raw Data'!I36))</f>
        <v/>
      </c>
      <c r="G35" s="10">
        <f>IF(COUNT('Raw Data'!H36,'Raw Data'!E36)&lt;2,"n/a",IF('Raw Data'!E36&lt;=0,"n/m",'Raw Data'!H36/'Raw Data'!E36))</f>
        <v/>
      </c>
      <c r="H35" s="10">
        <f>IF(COUNT('Raw Data'!D36,'Raw Data'!G36)&lt;2,"n/a",IF('Raw Data'!G36=0,"n/m",'Raw Data'!D36/'Raw Data'!G36))</f>
        <v/>
      </c>
      <c r="I35" s="8">
        <f>IF(COUNT('Raw Data'!F36,'Raw Data'!C36)&lt;2,"n/a",'Raw Data'!F36/'Raw Data'!C36)</f>
        <v/>
      </c>
      <c r="J35" s="9">
        <f>IF(COUNT('Raw Data'!C36,'Raw Data'!J36)&lt;2,"n/a",'Raw Data'!C36/'Raw Data'!J36)</f>
        <v/>
      </c>
      <c r="K35" s="9">
        <f>IF(COUNT('Raw Data'!J36,'Raw Data'!I36)&lt;2,"n/a",'Raw Data'!J36/'Raw Data'!I36)</f>
        <v/>
      </c>
      <c r="L35" s="11">
        <f>IF(COUNT(I35,J35,K35)&lt;3,"n/a",I35*J35*K35)</f>
        <v/>
      </c>
    </row>
    <row r="36">
      <c r="A36">
        <f>'Raw Data'!A37</f>
        <v/>
      </c>
      <c r="B36" s="6">
        <f>'Raw Data'!B37</f>
        <v/>
      </c>
      <c r="C36" s="8">
        <f>IF(COUNT('Raw Data'!D37,'Raw Data'!C37)&lt;2,"n/a",'Raw Data'!D37/'Raw Data'!C37)</f>
        <v/>
      </c>
      <c r="D36" s="8">
        <f>IF(COUNT('Raw Data'!N37,'Raw Data'!C37)&lt;2,"n/a",'Raw Data'!N37/'Raw Data'!C37)</f>
        <v/>
      </c>
      <c r="E36" s="9">
        <f>IF(COUNT('Raw Data'!K37,'Raw Data'!L37,'Raw Data'!M37)&lt;3,"n/a",('Raw Data'!K37-'Raw Data'!L37)/'Raw Data'!M37)</f>
        <v/>
      </c>
      <c r="F36" s="8">
        <f>IF(COUNT('Raw Data'!H37,'Raw Data'!I37)&lt;2,"n/a",'Raw Data'!H37/('Raw Data'!H37+'Raw Data'!I37))</f>
        <v/>
      </c>
      <c r="G36" s="10">
        <f>IF(COUNT('Raw Data'!H37,'Raw Data'!E37)&lt;2,"n/a",IF('Raw Data'!E37&lt;=0,"n/m",'Raw Data'!H37/'Raw Data'!E37))</f>
        <v/>
      </c>
      <c r="H36" s="10">
        <f>IF(COUNT('Raw Data'!D37,'Raw Data'!G37)&lt;2,"n/a",IF('Raw Data'!G37=0,"n/m",'Raw Data'!D37/'Raw Data'!G37))</f>
        <v/>
      </c>
      <c r="I36" s="8">
        <f>IF(COUNT('Raw Data'!F37,'Raw Data'!C37)&lt;2,"n/a",'Raw Data'!F37/'Raw Data'!C37)</f>
        <v/>
      </c>
      <c r="J36" s="9">
        <f>IF(COUNT('Raw Data'!C37,'Raw Data'!J37)&lt;2,"n/a",'Raw Data'!C37/'Raw Data'!J37)</f>
        <v/>
      </c>
      <c r="K36" s="9">
        <f>IF(COUNT('Raw Data'!J37,'Raw Data'!I37)&lt;2,"n/a",'Raw Data'!J37/'Raw Data'!I37)</f>
        <v/>
      </c>
      <c r="L36" s="11">
        <f>IF(COUNT(I36,J36,K36)&lt;3,"n/a",I36*J36*K36)</f>
        <v/>
      </c>
    </row>
    <row r="37">
      <c r="A37">
        <f>'Raw Data'!A38</f>
        <v/>
      </c>
      <c r="B37" s="6">
        <f>'Raw Data'!B38</f>
        <v/>
      </c>
      <c r="C37" s="8">
        <f>IF(COUNT('Raw Data'!D38,'Raw Data'!C38)&lt;2,"n/a",'Raw Data'!D38/'Raw Data'!C38)</f>
        <v/>
      </c>
      <c r="D37" s="8">
        <f>IF(COUNT('Raw Data'!N38,'Raw Data'!C38)&lt;2,"n/a",'Raw Data'!N38/'Raw Data'!C38)</f>
        <v/>
      </c>
      <c r="E37" s="9">
        <f>IF(COUNT('Raw Data'!K38,'Raw Data'!L38,'Raw Data'!M38)&lt;3,"n/a",('Raw Data'!K38-'Raw Data'!L38)/'Raw Data'!M38)</f>
        <v/>
      </c>
      <c r="F37" s="8">
        <f>IF(COUNT('Raw Data'!H38,'Raw Data'!I38)&lt;2,"n/a",'Raw Data'!H38/('Raw Data'!H38+'Raw Data'!I38))</f>
        <v/>
      </c>
      <c r="G37" s="10">
        <f>IF(COUNT('Raw Data'!H38,'Raw Data'!E38)&lt;2,"n/a",IF('Raw Data'!E38&lt;=0,"n/m",'Raw Data'!H38/'Raw Data'!E38))</f>
        <v/>
      </c>
      <c r="H37" s="10">
        <f>IF(COUNT('Raw Data'!D38,'Raw Data'!G38)&lt;2,"n/a",IF('Raw Data'!G38=0,"n/m",'Raw Data'!D38/'Raw Data'!G38))</f>
        <v/>
      </c>
      <c r="I37" s="8">
        <f>IF(COUNT('Raw Data'!F38,'Raw Data'!C38)&lt;2,"n/a",'Raw Data'!F38/'Raw Data'!C38)</f>
        <v/>
      </c>
      <c r="J37" s="9">
        <f>IF(COUNT('Raw Data'!C38,'Raw Data'!J38)&lt;2,"n/a",'Raw Data'!C38/'Raw Data'!J38)</f>
        <v/>
      </c>
      <c r="K37" s="9">
        <f>IF(COUNT('Raw Data'!J38,'Raw Data'!I38)&lt;2,"n/a",'Raw Data'!J38/'Raw Data'!I38)</f>
        <v/>
      </c>
      <c r="L37" s="11">
        <f>IF(COUNT(I37,J37,K37)&lt;3,"n/a",I37*J37*K37)</f>
        <v/>
      </c>
    </row>
    <row r="38">
      <c r="A38">
        <f>'Raw Data'!A39</f>
        <v/>
      </c>
      <c r="B38" s="6">
        <f>'Raw Data'!B39</f>
        <v/>
      </c>
      <c r="C38" s="8">
        <f>IF(COUNT('Raw Data'!D39,'Raw Data'!C39)&lt;2,"n/a",'Raw Data'!D39/'Raw Data'!C39)</f>
        <v/>
      </c>
      <c r="D38" s="8">
        <f>IF(COUNT('Raw Data'!N39,'Raw Data'!C39)&lt;2,"n/a",'Raw Data'!N39/'Raw Data'!C39)</f>
        <v/>
      </c>
      <c r="E38" s="9">
        <f>IF(COUNT('Raw Data'!K39,'Raw Data'!L39,'Raw Data'!M39)&lt;3,"n/a",('Raw Data'!K39-'Raw Data'!L39)/'Raw Data'!M39)</f>
        <v/>
      </c>
      <c r="F38" s="8">
        <f>IF(COUNT('Raw Data'!H39,'Raw Data'!I39)&lt;2,"n/a",'Raw Data'!H39/('Raw Data'!H39+'Raw Data'!I39))</f>
        <v/>
      </c>
      <c r="G38" s="10">
        <f>IF(COUNT('Raw Data'!H39,'Raw Data'!E39)&lt;2,"n/a",IF('Raw Data'!E39&lt;=0,"n/m",'Raw Data'!H39/'Raw Data'!E39))</f>
        <v/>
      </c>
      <c r="H38" s="10">
        <f>IF(COUNT('Raw Data'!D39,'Raw Data'!G39)&lt;2,"n/a",IF('Raw Data'!G39=0,"n/m",'Raw Data'!D39/'Raw Data'!G39))</f>
        <v/>
      </c>
      <c r="I38" s="8">
        <f>IF(COUNT('Raw Data'!F39,'Raw Data'!C39)&lt;2,"n/a",'Raw Data'!F39/'Raw Data'!C39)</f>
        <v/>
      </c>
      <c r="J38" s="9">
        <f>IF(COUNT('Raw Data'!C39,'Raw Data'!J39)&lt;2,"n/a",'Raw Data'!C39/'Raw Data'!J39)</f>
        <v/>
      </c>
      <c r="K38" s="9">
        <f>IF(COUNT('Raw Data'!J39,'Raw Data'!I39)&lt;2,"n/a",'Raw Data'!J39/'Raw Data'!I39)</f>
        <v/>
      </c>
      <c r="L38" s="11">
        <f>IF(COUNT(I38,J38,K38)&lt;3,"n/a",I38*J38*K38)</f>
        <v/>
      </c>
    </row>
    <row r="39">
      <c r="A39">
        <f>'Raw Data'!A40</f>
        <v/>
      </c>
      <c r="B39" s="6">
        <f>'Raw Data'!B40</f>
        <v/>
      </c>
      <c r="C39" s="8">
        <f>IF(COUNT('Raw Data'!D40,'Raw Data'!C40)&lt;2,"n/a",'Raw Data'!D40/'Raw Data'!C40)</f>
        <v/>
      </c>
      <c r="D39" s="8">
        <f>IF(COUNT('Raw Data'!N40,'Raw Data'!C40)&lt;2,"n/a",'Raw Data'!N40/'Raw Data'!C40)</f>
        <v/>
      </c>
      <c r="E39" s="9">
        <f>IF(COUNT('Raw Data'!K40,'Raw Data'!L40,'Raw Data'!M40)&lt;3,"n/a",('Raw Data'!K40-'Raw Data'!L40)/'Raw Data'!M40)</f>
        <v/>
      </c>
      <c r="F39" s="8">
        <f>IF(COUNT('Raw Data'!H40,'Raw Data'!I40)&lt;2,"n/a",'Raw Data'!H40/('Raw Data'!H40+'Raw Data'!I40))</f>
        <v/>
      </c>
      <c r="G39" s="10">
        <f>IF(COUNT('Raw Data'!H40,'Raw Data'!E40)&lt;2,"n/a",IF('Raw Data'!E40&lt;=0,"n/m",'Raw Data'!H40/'Raw Data'!E40))</f>
        <v/>
      </c>
      <c r="H39" s="10">
        <f>IF(COUNT('Raw Data'!D40,'Raw Data'!G40)&lt;2,"n/a",IF('Raw Data'!G40=0,"n/m",'Raw Data'!D40/'Raw Data'!G40))</f>
        <v/>
      </c>
      <c r="I39" s="8">
        <f>IF(COUNT('Raw Data'!F40,'Raw Data'!C40)&lt;2,"n/a",'Raw Data'!F40/'Raw Data'!C40)</f>
        <v/>
      </c>
      <c r="J39" s="9">
        <f>IF(COUNT('Raw Data'!C40,'Raw Data'!J40)&lt;2,"n/a",'Raw Data'!C40/'Raw Data'!J40)</f>
        <v/>
      </c>
      <c r="K39" s="9">
        <f>IF(COUNT('Raw Data'!J40,'Raw Data'!I40)&lt;2,"n/a",'Raw Data'!J40/'Raw Data'!I40)</f>
        <v/>
      </c>
      <c r="L39" s="11">
        <f>IF(COUNT(I39,J39,K39)&lt;3,"n/a",I39*J39*K39)</f>
        <v/>
      </c>
    </row>
    <row r="40">
      <c r="A40">
        <f>'Raw Data'!A41</f>
        <v/>
      </c>
      <c r="B40" s="6">
        <f>'Raw Data'!B41</f>
        <v/>
      </c>
      <c r="C40" s="8">
        <f>IF(COUNT('Raw Data'!D41,'Raw Data'!C41)&lt;2,"n/a",'Raw Data'!D41/'Raw Data'!C41)</f>
        <v/>
      </c>
      <c r="D40" s="8">
        <f>IF(COUNT('Raw Data'!N41,'Raw Data'!C41)&lt;2,"n/a",'Raw Data'!N41/'Raw Data'!C41)</f>
        <v/>
      </c>
      <c r="E40" s="9">
        <f>IF(COUNT('Raw Data'!K41,'Raw Data'!L41,'Raw Data'!M41)&lt;3,"n/a",('Raw Data'!K41-'Raw Data'!L41)/'Raw Data'!M41)</f>
        <v/>
      </c>
      <c r="F40" s="8">
        <f>IF(COUNT('Raw Data'!H41,'Raw Data'!I41)&lt;2,"n/a",'Raw Data'!H41/('Raw Data'!H41+'Raw Data'!I41))</f>
        <v/>
      </c>
      <c r="G40" s="10">
        <f>IF(COUNT('Raw Data'!H41,'Raw Data'!E41)&lt;2,"n/a",IF('Raw Data'!E41&lt;=0,"n/m",'Raw Data'!H41/'Raw Data'!E41))</f>
        <v/>
      </c>
      <c r="H40" s="10">
        <f>IF(COUNT('Raw Data'!D41,'Raw Data'!G41)&lt;2,"n/a",IF('Raw Data'!G41=0,"n/m",'Raw Data'!D41/'Raw Data'!G41))</f>
        <v/>
      </c>
      <c r="I40" s="8">
        <f>IF(COUNT('Raw Data'!F41,'Raw Data'!C41)&lt;2,"n/a",'Raw Data'!F41/'Raw Data'!C41)</f>
        <v/>
      </c>
      <c r="J40" s="9">
        <f>IF(COUNT('Raw Data'!C41,'Raw Data'!J41)&lt;2,"n/a",'Raw Data'!C41/'Raw Data'!J41)</f>
        <v/>
      </c>
      <c r="K40" s="9">
        <f>IF(COUNT('Raw Data'!J41,'Raw Data'!I41)&lt;2,"n/a",'Raw Data'!J41/'Raw Data'!I41)</f>
        <v/>
      </c>
      <c r="L40" s="11">
        <f>IF(COUNT(I40,J40,K40)&lt;3,"n/a",I40*J40*K40)</f>
        <v/>
      </c>
    </row>
    <row r="41">
      <c r="A41">
        <f>'Raw Data'!A42</f>
        <v/>
      </c>
      <c r="B41" s="6">
        <f>'Raw Data'!B42</f>
        <v/>
      </c>
      <c r="C41" s="8">
        <f>IF(COUNT('Raw Data'!D42,'Raw Data'!C42)&lt;2,"n/a",'Raw Data'!D42/'Raw Data'!C42)</f>
        <v/>
      </c>
      <c r="D41" s="8">
        <f>IF(COUNT('Raw Data'!N42,'Raw Data'!C42)&lt;2,"n/a",'Raw Data'!N42/'Raw Data'!C42)</f>
        <v/>
      </c>
      <c r="E41" s="9">
        <f>IF(COUNT('Raw Data'!K42,'Raw Data'!L42,'Raw Data'!M42)&lt;3,"n/a",('Raw Data'!K42-'Raw Data'!L42)/'Raw Data'!M42)</f>
        <v/>
      </c>
      <c r="F41" s="8">
        <f>IF(COUNT('Raw Data'!H42,'Raw Data'!I42)&lt;2,"n/a",'Raw Data'!H42/('Raw Data'!H42+'Raw Data'!I42))</f>
        <v/>
      </c>
      <c r="G41" s="10">
        <f>IF(COUNT('Raw Data'!H42,'Raw Data'!E42)&lt;2,"n/a",IF('Raw Data'!E42&lt;=0,"n/m",'Raw Data'!H42/'Raw Data'!E42))</f>
        <v/>
      </c>
      <c r="H41" s="10">
        <f>IF(COUNT('Raw Data'!D42,'Raw Data'!G42)&lt;2,"n/a",IF('Raw Data'!G42=0,"n/m",'Raw Data'!D42/'Raw Data'!G42))</f>
        <v/>
      </c>
      <c r="I41" s="8">
        <f>IF(COUNT('Raw Data'!F42,'Raw Data'!C42)&lt;2,"n/a",'Raw Data'!F42/'Raw Data'!C42)</f>
        <v/>
      </c>
      <c r="J41" s="9">
        <f>IF(COUNT('Raw Data'!C42,'Raw Data'!J42)&lt;2,"n/a",'Raw Data'!C42/'Raw Data'!J42)</f>
        <v/>
      </c>
      <c r="K41" s="9">
        <f>IF(COUNT('Raw Data'!J42,'Raw Data'!I42)&lt;2,"n/a",'Raw Data'!J42/'Raw Data'!I42)</f>
        <v/>
      </c>
      <c r="L41" s="11">
        <f>IF(COUNT(I41,J41,K41)&lt;3,"n/a",I41*J41*K41)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3" customWidth="1" min="4" max="4"/>
    <col width="13" customWidth="1" min="5" max="5"/>
    <col width="12" customWidth="1" min="6" max="6"/>
    <col width="18" customWidth="1" min="7" max="7"/>
    <col width="8" customWidth="1" min="8" max="8"/>
    <col width="10" customWidth="1" min="9" max="9"/>
  </cols>
  <sheetData>
    <row r="1">
      <c r="A1" s="5" t="inlineStr">
        <is>
          <t>Snapshot 2026-10-20 — listed-currency figures from Yahoo Finance</t>
        </is>
      </c>
    </row>
    <row r="2">
      <c r="A2" s="2" t="inlineStr">
        <is>
          <t>Name</t>
        </is>
      </c>
      <c r="B2" s="2" t="inlineStr">
        <is>
          <t>Ticker</t>
        </is>
      </c>
      <c r="C2" s="2" t="inlineStr">
        <is>
          <t>Price</t>
        </is>
      </c>
      <c r="D2" s="2" t="inlineStr">
        <is>
          <t>Mkt Cap ($mm)</t>
        </is>
      </c>
      <c r="E2" s="2" t="inlineStr">
        <is>
          <t>Book Value/sh</t>
        </is>
      </c>
      <c r="F2" s="2" t="inlineStr">
        <is>
          <t>EV ($mm)</t>
        </is>
      </c>
      <c r="G2" s="2" t="inlineStr">
        <is>
          <t>Trailing EBITDA ($mm)</t>
        </is>
      </c>
      <c r="H2" s="2" t="inlineStr">
        <is>
          <t>P/B</t>
        </is>
      </c>
      <c r="I2" s="2" t="inlineStr">
        <is>
          <t>EV/EBITDA</t>
        </is>
      </c>
    </row>
    <row r="3">
      <c r="A3" t="inlineStr">
        <is>
          <t>First Majestic Silver</t>
        </is>
      </c>
      <c r="B3" t="inlineStr">
        <is>
          <t>AG</t>
        </is>
      </c>
      <c r="C3" s="12" t="n">
        <v>15.98</v>
      </c>
      <c r="D3" s="13" t="n">
        <v>7879.432704</v>
      </c>
      <c r="E3" s="12" t="n">
        <v>6.02</v>
      </c>
      <c r="F3" s="13" t="n">
        <v>7368.664064</v>
      </c>
      <c r="G3" s="13" t="n">
        <v>942.211968</v>
      </c>
      <c r="H3" s="14">
        <f>IFERROR(C3/E3,"n/m")</f>
        <v/>
      </c>
      <c r="I3" s="14">
        <f>IF(G3&lt;=0,"n/m",F3/G3)</f>
        <v/>
      </c>
    </row>
    <row r="4">
      <c r="A4" t="inlineStr">
        <is>
          <t>Pan American Silver</t>
        </is>
      </c>
      <c r="B4" t="inlineStr">
        <is>
          <t>PAAS</t>
        </is>
      </c>
      <c r="C4" s="12" t="n">
        <v>44.43</v>
      </c>
      <c r="D4" s="13" t="n">
        <v>18421.477376</v>
      </c>
      <c r="E4" s="12" t="n">
        <v>17.642</v>
      </c>
      <c r="F4" s="13" t="n">
        <v>17668.59776</v>
      </c>
      <c r="G4" s="13" t="n">
        <v>2124</v>
      </c>
      <c r="H4" s="14">
        <f>IFERROR(C4/E4,"n/m")</f>
        <v/>
      </c>
      <c r="I4" s="14">
        <f>IF(G4&lt;=0,"n/m",F4/G4)</f>
        <v/>
      </c>
    </row>
    <row r="5">
      <c r="A5" t="inlineStr">
        <is>
          <t>Fresnillo PLC</t>
        </is>
      </c>
      <c r="B5" t="inlineStr">
        <is>
          <t>FNLPF</t>
        </is>
      </c>
      <c r="C5" s="12" t="n">
        <v>35.8</v>
      </c>
      <c r="D5" s="13" t="n">
        <v>26380.78976</v>
      </c>
      <c r="E5" s="12" t="n">
        <v>6.95</v>
      </c>
      <c r="F5" s="13" t="n">
        <v>25154.12992</v>
      </c>
      <c r="G5" s="13" t="n">
        <v>4027.734016</v>
      </c>
      <c r="H5" s="14">
        <f>IFERROR(C5/E5,"n/m")</f>
        <v/>
      </c>
      <c r="I5" s="14">
        <f>IF(G5&lt;=0,"n/m",F5/G5)</f>
        <v/>
      </c>
    </row>
    <row r="6">
      <c r="A6" t="inlineStr">
        <is>
          <t>Hecla Mining</t>
        </is>
      </c>
      <c r="B6" t="inlineStr">
        <is>
          <t>HL</t>
        </is>
      </c>
      <c r="C6" s="12" t="n">
        <v>15.05</v>
      </c>
      <c r="D6" s="13" t="n">
        <v>10110.114816</v>
      </c>
      <c r="E6" s="12" t="n">
        <v>3.986</v>
      </c>
      <c r="F6" s="13" t="n">
        <v>9646.290944</v>
      </c>
      <c r="G6" s="13" t="n">
        <v>969.484992</v>
      </c>
      <c r="H6" s="14">
        <f>IFERROR(C6/E6,"n/m")</f>
        <v/>
      </c>
      <c r="I6" s="14">
        <f>IF(G6&lt;=0,"n/m",F6/G6)</f>
        <v/>
      </c>
    </row>
    <row r="7">
      <c r="A7" t="inlineStr">
        <is>
          <t>Coeur Mining</t>
        </is>
      </c>
      <c r="B7" t="inlineStr">
        <is>
          <t>CDE</t>
        </is>
      </c>
      <c r="C7" s="12" t="n">
        <v>15.33</v>
      </c>
      <c r="D7" s="13" t="n">
        <v>15758.242816</v>
      </c>
      <c r="E7" s="12" t="n">
        <v>10.121</v>
      </c>
      <c r="F7" s="13" t="n">
        <v>15419.12576</v>
      </c>
      <c r="G7" s="13" t="n">
        <v>1629.442048</v>
      </c>
      <c r="H7" s="14">
        <f>IFERROR(C7/E7,"n/m")</f>
        <v/>
      </c>
      <c r="I7" s="14">
        <f>IF(G7&lt;=0,"n/m",F7/G7)</f>
        <v/>
      </c>
    </row>
    <row r="8">
      <c r="A8" t="inlineStr">
        <is>
          <t>Endeavour Silver</t>
        </is>
      </c>
      <c r="B8" t="inlineStr">
        <is>
          <t>EXK</t>
        </is>
      </c>
      <c r="C8" s="12" t="n">
        <v>8.26</v>
      </c>
      <c r="D8" s="13" t="n">
        <v>2446.153472</v>
      </c>
      <c r="E8" s="12" t="n">
        <v>2.406</v>
      </c>
      <c r="F8" s="13" t="n">
        <v>2450.953472</v>
      </c>
      <c r="G8" s="13" t="n">
        <v>281.5</v>
      </c>
      <c r="H8" s="14">
        <f>IFERROR(C8/E8,"n/m")</f>
        <v/>
      </c>
      <c r="I8" s="14">
        <f>IF(G8&lt;=0,"n/m",F8/G8)</f>
        <v/>
      </c>
    </row>
    <row r="9">
      <c r="A9" t="inlineStr">
        <is>
          <t>Fortuna Mining</t>
        </is>
      </c>
      <c r="B9" t="inlineStr">
        <is>
          <t>FSM</t>
        </is>
      </c>
      <c r="C9" s="12" t="n">
        <v>10.59</v>
      </c>
      <c r="D9" s="13" t="n">
        <v>3134.188544</v>
      </c>
      <c r="E9" s="12" t="n">
        <v>5.97</v>
      </c>
      <c r="F9" s="13" t="n">
        <v>2805.920768</v>
      </c>
      <c r="G9" s="13" t="n">
        <v>750.460032</v>
      </c>
      <c r="H9" s="14">
        <f>IFERROR(C9/E9,"n/m")</f>
        <v/>
      </c>
      <c r="I9" s="14">
        <f>IF(G9&lt;=0,"n/m",F9/G9)</f>
        <v/>
      </c>
    </row>
    <row r="10">
      <c r="A10" t="inlineStr">
        <is>
          <t>Silvercorp Metals</t>
        </is>
      </c>
      <c r="B10" t="inlineStr">
        <is>
          <t>SVM</t>
        </is>
      </c>
      <c r="C10" s="12" t="n">
        <v>9.77</v>
      </c>
      <c r="D10" s="13" t="n">
        <v>2161.185792</v>
      </c>
      <c r="E10" s="12" t="n">
        <v>4.461</v>
      </c>
      <c r="F10" s="13" t="n">
        <v>2088.901632</v>
      </c>
      <c r="G10" s="13" t="n">
        <v>309.139008</v>
      </c>
      <c r="H10" s="14">
        <f>IFERROR(C10/E10,"n/m")</f>
        <v/>
      </c>
      <c r="I10" s="14">
        <f>IF(G10&lt;=0,"n/m",F10/G10)</f>
        <v/>
      </c>
    </row>
    <row r="11">
      <c r="A11" t="inlineStr">
        <is>
          <t>Aya Gold &amp; Silver</t>
        </is>
      </c>
      <c r="B11" t="inlineStr">
        <is>
          <t>AYA.TO</t>
        </is>
      </c>
      <c r="C11" s="12" t="n">
        <v>37.4</v>
      </c>
      <c r="D11" s="13" t="n">
        <v>5386.952704</v>
      </c>
      <c r="E11" s="12" t="n">
        <v>4.8058186</v>
      </c>
      <c r="F11" s="13" t="n">
        <v>5301.024768</v>
      </c>
      <c r="G11" s="13" t="n">
        <v>207.972992</v>
      </c>
      <c r="H11" s="14">
        <f>IFERROR(C11/E11,"n/m")</f>
        <v/>
      </c>
      <c r="I11" s="14">
        <f>IF(G11&lt;=0,"n/m",F11/G11)</f>
        <v/>
      </c>
    </row>
    <row r="12">
      <c r="A12" t="inlineStr">
        <is>
          <t>Avino Silver &amp; Gold</t>
        </is>
      </c>
      <c r="B12" t="inlineStr">
        <is>
          <t>ASM</t>
        </is>
      </c>
      <c r="C12" s="12" t="n">
        <v>5.21</v>
      </c>
      <c r="D12" s="13" t="n">
        <v>884.94592</v>
      </c>
      <c r="E12" s="12" t="n">
        <v>1.664</v>
      </c>
      <c r="F12" s="13" t="n">
        <v>748.668096</v>
      </c>
      <c r="G12" s="13" t="n">
        <v>57.053</v>
      </c>
      <c r="H12" s="14">
        <f>IFERROR(C12/E12,"n/m")</f>
        <v/>
      </c>
      <c r="I12" s="14">
        <f>IF(G12&lt;=0,"n/m",F12/G12)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0" customWidth="1" min="3" max="3"/>
  </cols>
  <sheetData>
    <row r="1">
      <c r="A1" s="5" t="inlineStr">
        <is>
          <t>AISC per silver-equivalent ounce (US$) — manual inputs from company press releases; yellow = fill in</t>
        </is>
      </c>
    </row>
    <row r="2">
      <c r="A2" s="2" t="inlineStr">
        <is>
          <t>Company</t>
        </is>
      </c>
      <c r="B2" s="2" t="inlineStr">
        <is>
          <t>FY2025 AISC $/AgEq oz</t>
        </is>
      </c>
      <c r="C2" s="2" t="inlineStr">
        <is>
          <t>Source</t>
        </is>
      </c>
    </row>
    <row r="3">
      <c r="A3" t="inlineStr">
        <is>
          <t>First Majestic Silver</t>
        </is>
      </c>
      <c r="B3" s="3" t="n">
        <v>21.17</v>
      </c>
      <c r="C3" t="inlineStr">
        <is>
          <t>FY2025 results press release, firstmajestic.com</t>
        </is>
      </c>
    </row>
    <row r="4">
      <c r="A4" t="inlineStr">
        <is>
          <t>Pan American Silver</t>
        </is>
      </c>
      <c r="B4" s="15" t="n"/>
    </row>
    <row r="5">
      <c r="A5" t="inlineStr">
        <is>
          <t>Fresnillo PLC</t>
        </is>
      </c>
      <c r="B5" s="15" t="n"/>
    </row>
    <row r="6">
      <c r="A6" t="inlineStr">
        <is>
          <t>Hecla Mining</t>
        </is>
      </c>
      <c r="B6" s="15" t="n"/>
    </row>
    <row r="7">
      <c r="A7" t="inlineStr">
        <is>
          <t>Coeur Mining</t>
        </is>
      </c>
      <c r="B7" s="15" t="n"/>
    </row>
    <row r="8">
      <c r="A8" t="inlineStr">
        <is>
          <t>Endeavour Silver</t>
        </is>
      </c>
      <c r="B8" s="15" t="n"/>
    </row>
    <row r="9">
      <c r="A9" t="inlineStr">
        <is>
          <t>Fortuna Mining</t>
        </is>
      </c>
      <c r="B9" s="15" t="n"/>
    </row>
    <row r="10">
      <c r="A10" t="inlineStr">
        <is>
          <t>Silvercorp Metals</t>
        </is>
      </c>
      <c r="B10" s="15" t="n"/>
    </row>
    <row r="11">
      <c r="A11" t="inlineStr">
        <is>
          <t>Aya Gold &amp; Silver</t>
        </is>
      </c>
      <c r="B11" s="15" t="n"/>
    </row>
    <row r="12">
      <c r="A12" t="inlineStr">
        <is>
          <t>Avino Silver &amp; Gold</t>
        </is>
      </c>
      <c r="B1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2026-10-20T01:09:52Z</dcterms:created>
  <dcterms:modified xmlns:dcterms="http://purl.org/dc/terms/" xmlns:xsi="http://www.w3.org/2001/XMLSchema-instance" xsi:type="dcterms:W3CDTF">2026-10-20T01:09:52Z</dcterms:modified>
</cp:coreProperties>
</file>